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showInkAnnotation="0" autoCompressPictures="0"/>
  <mc:AlternateContent xmlns:mc="http://schemas.openxmlformats.org/markup-compatibility/2006">
    <mc:Choice Requires="x15">
      <x15ac:absPath xmlns:x15ac="http://schemas.microsoft.com/office/spreadsheetml/2010/11/ac" url="C:\Users\Perfect Computer\Downloads\Compressed\jeremyk27-attachments\"/>
    </mc:Choice>
  </mc:AlternateContent>
  <xr:revisionPtr revIDLastSave="0" documentId="13_ncr:1_{0416C284-2CDB-4E4C-8105-C34D19EB8D86}" xr6:coauthVersionLast="47" xr6:coauthVersionMax="47" xr10:uidLastSave="{00000000-0000-0000-0000-000000000000}"/>
  <bookViews>
    <workbookView xWindow="-110" yWindow="-110" windowWidth="19420" windowHeight="10300" tabRatio="607" firstSheet="3" activeTab="6" xr2:uid="{00000000-000D-0000-FFFF-FFFF00000000}"/>
  </bookViews>
  <sheets>
    <sheet name="1-Genre Analysis" sheetId="5" r:id="rId1"/>
    <sheet name="Sheet1" sheetId="10" state="hidden" r:id="rId2"/>
    <sheet name="2-Actor Analysis" sheetId="6" r:id="rId3"/>
    <sheet name="3-Answer Sheet" sheetId="2" r:id="rId4"/>
    <sheet name="4-Actor Codes" sheetId="8" r:id="rId5"/>
    <sheet name="5-Genre Codes" sheetId="9" r:id="rId6"/>
    <sheet name="6-Movie Data" sheetId="1" r:id="rId7"/>
  </sheets>
  <definedNames>
    <definedName name="MovieData">'6-Movie Data'!$A$1:$L$1001</definedName>
    <definedName name="Slicer_Year_Produced">#N/A</definedName>
    <definedName name="Slicer_Year_Produced2">#N/A</definedName>
  </definedNames>
  <calcPr calcId="191029"/>
  <pivotCaches>
    <pivotCache cacheId="0" r:id="rId8"/>
    <pivotCache cacheId="3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8" i="2" l="1"/>
  <c r="B7" i="2"/>
  <c r="B6" i="2"/>
  <c r="G99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7" i="1"/>
  <c r="G998" i="1"/>
  <c r="G999" i="1"/>
  <c r="G1000" i="1"/>
  <c r="G1001" i="1"/>
  <c r="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J1006" i="1"/>
  <c r="L1004" i="1"/>
  <c r="J1004" i="1"/>
  <c r="I1004" i="1"/>
  <c r="L1003" i="1"/>
  <c r="J1003" i="1"/>
  <c r="I1003" i="1"/>
  <c r="E1004" i="1"/>
  <c r="E1003" i="1"/>
  <c r="F31" i="10"/>
  <c r="F39" i="10"/>
  <c r="F47" i="10"/>
  <c r="F55" i="10"/>
  <c r="F63" i="10"/>
  <c r="F71" i="10"/>
  <c r="F79" i="10"/>
  <c r="F87" i="10"/>
  <c r="F95" i="10"/>
  <c r="F103" i="10"/>
  <c r="F111" i="10"/>
  <c r="F119" i="10"/>
  <c r="F127" i="10"/>
  <c r="F135" i="10"/>
  <c r="F143" i="10"/>
  <c r="F151" i="10"/>
  <c r="F159" i="10"/>
  <c r="F167" i="10"/>
  <c r="F175" i="10"/>
  <c r="F183" i="10"/>
  <c r="F191" i="10"/>
  <c r="F199" i="10"/>
  <c r="F207" i="10"/>
  <c r="F215" i="10"/>
  <c r="F223" i="10"/>
  <c r="F231" i="10"/>
  <c r="F239" i="10"/>
  <c r="F247" i="10"/>
  <c r="F255" i="10"/>
  <c r="F263" i="10"/>
  <c r="F271" i="10"/>
  <c r="F279" i="10"/>
  <c r="F287" i="10"/>
  <c r="F295" i="10"/>
  <c r="F303" i="10"/>
  <c r="F311" i="10"/>
  <c r="F319" i="10"/>
  <c r="F327" i="10"/>
  <c r="F335" i="10"/>
  <c r="F343" i="10"/>
  <c r="F351" i="10"/>
  <c r="F359" i="10"/>
  <c r="F367" i="10"/>
  <c r="F375" i="10"/>
  <c r="F383" i="10"/>
  <c r="F391" i="10"/>
  <c r="F399" i="10"/>
  <c r="F407" i="10"/>
  <c r="F415" i="10"/>
  <c r="F423" i="10"/>
  <c r="F431" i="10"/>
  <c r="F439" i="10"/>
  <c r="F447" i="10"/>
  <c r="F455" i="10"/>
  <c r="F463" i="10"/>
  <c r="F471" i="10"/>
  <c r="F479" i="10"/>
  <c r="F487" i="10"/>
  <c r="F495" i="10"/>
  <c r="F503" i="10"/>
  <c r="F511" i="10"/>
  <c r="F519" i="10"/>
  <c r="F527" i="10"/>
  <c r="F535" i="10"/>
  <c r="F543" i="10"/>
  <c r="F551" i="10"/>
  <c r="F559" i="10"/>
  <c r="F567" i="10"/>
  <c r="F575" i="10"/>
  <c r="F583" i="10"/>
  <c r="F591" i="10"/>
  <c r="F599" i="10"/>
  <c r="F607" i="10"/>
  <c r="F615" i="10"/>
  <c r="F623" i="10"/>
  <c r="F631" i="10"/>
  <c r="F639" i="10"/>
  <c r="F647" i="10"/>
  <c r="F40" i="10"/>
  <c r="F48" i="10"/>
  <c r="F56" i="10"/>
  <c r="F64" i="10"/>
  <c r="F72" i="10"/>
  <c r="F80" i="10"/>
  <c r="F88" i="10"/>
  <c r="F96" i="10"/>
  <c r="F104" i="10"/>
  <c r="F112" i="10"/>
  <c r="F120" i="10"/>
  <c r="F128" i="10"/>
  <c r="F136" i="10"/>
  <c r="F144" i="10"/>
  <c r="F152" i="10"/>
  <c r="F160" i="10"/>
  <c r="F168" i="10"/>
  <c r="F176" i="10"/>
  <c r="F184" i="10"/>
  <c r="F192" i="10"/>
  <c r="F200" i="10"/>
  <c r="F208" i="10"/>
  <c r="F216" i="10"/>
  <c r="F224" i="10"/>
  <c r="F232" i="10"/>
  <c r="F240" i="10"/>
  <c r="F248" i="10"/>
  <c r="F256" i="10"/>
  <c r="F264" i="10"/>
  <c r="F272" i="10"/>
  <c r="F280" i="10"/>
  <c r="F288" i="10"/>
  <c r="F296" i="10"/>
  <c r="F304" i="10"/>
  <c r="F312" i="10"/>
  <c r="F320" i="10"/>
  <c r="F328" i="10"/>
  <c r="F336" i="10"/>
  <c r="F344" i="10"/>
  <c r="F352" i="10"/>
  <c r="F360" i="10"/>
  <c r="F368" i="10"/>
  <c r="F376" i="10"/>
  <c r="F384" i="10"/>
  <c r="F392" i="10"/>
  <c r="F400" i="10"/>
  <c r="F408" i="10"/>
  <c r="F416" i="10"/>
  <c r="F424" i="10"/>
  <c r="F32" i="10"/>
  <c r="F33" i="10"/>
  <c r="F41" i="10"/>
  <c r="F49" i="10"/>
  <c r="F57" i="10"/>
  <c r="F65" i="10"/>
  <c r="F73" i="10"/>
  <c r="F81" i="10"/>
  <c r="F89" i="10"/>
  <c r="F97" i="10"/>
  <c r="F105" i="10"/>
  <c r="F113" i="10"/>
  <c r="F121" i="10"/>
  <c r="F129" i="10"/>
  <c r="F137" i="10"/>
  <c r="F145" i="10"/>
  <c r="F153" i="10"/>
  <c r="F161" i="10"/>
  <c r="F169" i="10"/>
  <c r="F177" i="10"/>
  <c r="F185" i="10"/>
  <c r="F193" i="10"/>
  <c r="F201" i="10"/>
  <c r="F209" i="10"/>
  <c r="F217" i="10"/>
  <c r="F225" i="10"/>
  <c r="F233" i="10"/>
  <c r="F241" i="10"/>
  <c r="F249" i="10"/>
  <c r="F257" i="10"/>
  <c r="F265" i="10"/>
  <c r="F273" i="10"/>
  <c r="F281" i="10"/>
  <c r="F289" i="10"/>
  <c r="F297" i="10"/>
  <c r="F305" i="10"/>
  <c r="F313" i="10"/>
  <c r="F321" i="10"/>
  <c r="F329" i="10"/>
  <c r="F337" i="10"/>
  <c r="F345" i="10"/>
  <c r="F353" i="10"/>
  <c r="F361" i="10"/>
  <c r="F369" i="10"/>
  <c r="F377" i="10"/>
  <c r="F385" i="10"/>
  <c r="F393" i="10"/>
  <c r="F401" i="10"/>
  <c r="F409" i="10"/>
  <c r="F417" i="10"/>
  <c r="F425" i="10"/>
  <c r="F433" i="10"/>
  <c r="F441" i="10"/>
  <c r="F449" i="10"/>
  <c r="F457" i="10"/>
  <c r="F465" i="10"/>
  <c r="F473" i="10"/>
  <c r="F481" i="10"/>
  <c r="F489" i="10"/>
  <c r="F497" i="10"/>
  <c r="F505" i="10"/>
  <c r="F513" i="10"/>
  <c r="F521" i="10"/>
  <c r="F529" i="10"/>
  <c r="F537" i="10"/>
  <c r="F545" i="10"/>
  <c r="F553" i="10"/>
  <c r="F561" i="10"/>
  <c r="F569" i="10"/>
  <c r="F577" i="10"/>
  <c r="F585" i="10"/>
  <c r="F593" i="10"/>
  <c r="F601" i="10"/>
  <c r="F609" i="10"/>
  <c r="F617" i="10"/>
  <c r="F625" i="10"/>
  <c r="F633" i="10"/>
  <c r="F641" i="10"/>
  <c r="F649" i="10"/>
  <c r="F34" i="10"/>
  <c r="F35" i="10"/>
  <c r="F36" i="10"/>
  <c r="F37" i="10"/>
  <c r="F38" i="10"/>
  <c r="F42" i="10"/>
  <c r="F53" i="10"/>
  <c r="F67" i="10"/>
  <c r="F78" i="10"/>
  <c r="F92" i="10"/>
  <c r="F106" i="10"/>
  <c r="F117" i="10"/>
  <c r="F131" i="10"/>
  <c r="F142" i="10"/>
  <c r="F156" i="10"/>
  <c r="F170" i="10"/>
  <c r="F181" i="10"/>
  <c r="F195" i="10"/>
  <c r="F206" i="10"/>
  <c r="F220" i="10"/>
  <c r="F234" i="10"/>
  <c r="F245" i="10"/>
  <c r="F259" i="10"/>
  <c r="F270" i="10"/>
  <c r="F284" i="10"/>
  <c r="F298" i="10"/>
  <c r="F309" i="10"/>
  <c r="F323" i="10"/>
  <c r="F334" i="10"/>
  <c r="F348" i="10"/>
  <c r="F362" i="10"/>
  <c r="F373" i="10"/>
  <c r="F387" i="10"/>
  <c r="F398" i="10"/>
  <c r="F412" i="10"/>
  <c r="F426" i="10"/>
  <c r="F436" i="10"/>
  <c r="F446" i="10"/>
  <c r="F458" i="10"/>
  <c r="F468" i="10"/>
  <c r="F478" i="10"/>
  <c r="F490" i="10"/>
  <c r="F500" i="10"/>
  <c r="F510" i="10"/>
  <c r="F522" i="10"/>
  <c r="F532" i="10"/>
  <c r="F542" i="10"/>
  <c r="F554" i="10"/>
  <c r="F564" i="10"/>
  <c r="F574" i="10"/>
  <c r="F586" i="10"/>
  <c r="F596" i="10"/>
  <c r="F606" i="10"/>
  <c r="F618" i="10"/>
  <c r="F628" i="10"/>
  <c r="F638" i="10"/>
  <c r="F650" i="10"/>
  <c r="F46" i="10"/>
  <c r="F99" i="10"/>
  <c r="F138" i="10"/>
  <c r="F188" i="10"/>
  <c r="F238" i="10"/>
  <c r="F277" i="10"/>
  <c r="F330" i="10"/>
  <c r="F394" i="10"/>
  <c r="F442" i="10"/>
  <c r="F484" i="10"/>
  <c r="F526" i="10"/>
  <c r="F570" i="10"/>
  <c r="F612" i="10"/>
  <c r="F614" i="10"/>
  <c r="F102" i="10"/>
  <c r="F194" i="10"/>
  <c r="F244" i="10"/>
  <c r="F308" i="10"/>
  <c r="F372" i="10"/>
  <c r="F435" i="10"/>
  <c r="F499" i="10"/>
  <c r="F552" i="10"/>
  <c r="F627" i="10"/>
  <c r="F43" i="10"/>
  <c r="F54" i="10"/>
  <c r="F68" i="10"/>
  <c r="F82" i="10"/>
  <c r="F93" i="10"/>
  <c r="F107" i="10"/>
  <c r="F118" i="10"/>
  <c r="F132" i="10"/>
  <c r="F146" i="10"/>
  <c r="F157" i="10"/>
  <c r="F171" i="10"/>
  <c r="F182" i="10"/>
  <c r="F196" i="10"/>
  <c r="F210" i="10"/>
  <c r="F221" i="10"/>
  <c r="F235" i="10"/>
  <c r="F246" i="10"/>
  <c r="F260" i="10"/>
  <c r="F274" i="10"/>
  <c r="F285" i="10"/>
  <c r="F299" i="10"/>
  <c r="F310" i="10"/>
  <c r="F324" i="10"/>
  <c r="F338" i="10"/>
  <c r="F349" i="10"/>
  <c r="F363" i="10"/>
  <c r="F374" i="10"/>
  <c r="F388" i="10"/>
  <c r="F402" i="10"/>
  <c r="F413" i="10"/>
  <c r="F427" i="10"/>
  <c r="F437" i="10"/>
  <c r="F448" i="10"/>
  <c r="F459" i="10"/>
  <c r="F469" i="10"/>
  <c r="F480" i="10"/>
  <c r="F491" i="10"/>
  <c r="F501" i="10"/>
  <c r="F512" i="10"/>
  <c r="F523" i="10"/>
  <c r="F533" i="10"/>
  <c r="F544" i="10"/>
  <c r="F555" i="10"/>
  <c r="F565" i="10"/>
  <c r="F576" i="10"/>
  <c r="F587" i="10"/>
  <c r="F597" i="10"/>
  <c r="F608" i="10"/>
  <c r="F619" i="10"/>
  <c r="F629" i="10"/>
  <c r="F640" i="10"/>
  <c r="F651" i="10"/>
  <c r="F60" i="10"/>
  <c r="F110" i="10"/>
  <c r="F163" i="10"/>
  <c r="F202" i="10"/>
  <c r="F252" i="10"/>
  <c r="F302" i="10"/>
  <c r="F341" i="10"/>
  <c r="F380" i="10"/>
  <c r="F430" i="10"/>
  <c r="F474" i="10"/>
  <c r="F506" i="10"/>
  <c r="F548" i="10"/>
  <c r="F590" i="10"/>
  <c r="F622" i="10"/>
  <c r="F604" i="10"/>
  <c r="F91" i="10"/>
  <c r="F180" i="10"/>
  <c r="F258" i="10"/>
  <c r="F322" i="10"/>
  <c r="F386" i="10"/>
  <c r="F445" i="10"/>
  <c r="F509" i="10"/>
  <c r="F573" i="10"/>
  <c r="F637" i="10"/>
  <c r="F44" i="10"/>
  <c r="F58" i="10"/>
  <c r="F69" i="10"/>
  <c r="F83" i="10"/>
  <c r="F94" i="10"/>
  <c r="F108" i="10"/>
  <c r="F122" i="10"/>
  <c r="F133" i="10"/>
  <c r="F147" i="10"/>
  <c r="F158" i="10"/>
  <c r="F172" i="10"/>
  <c r="F186" i="10"/>
  <c r="F197" i="10"/>
  <c r="F211" i="10"/>
  <c r="F222" i="10"/>
  <c r="F236" i="10"/>
  <c r="F250" i="10"/>
  <c r="F261" i="10"/>
  <c r="F275" i="10"/>
  <c r="F286" i="10"/>
  <c r="F300" i="10"/>
  <c r="F314" i="10"/>
  <c r="F325" i="10"/>
  <c r="F339" i="10"/>
  <c r="F350" i="10"/>
  <c r="F364" i="10"/>
  <c r="F378" i="10"/>
  <c r="F389" i="10"/>
  <c r="F403" i="10"/>
  <c r="F414" i="10"/>
  <c r="F428" i="10"/>
  <c r="F438" i="10"/>
  <c r="F450" i="10"/>
  <c r="F460" i="10"/>
  <c r="F470" i="10"/>
  <c r="F482" i="10"/>
  <c r="F492" i="10"/>
  <c r="F502" i="10"/>
  <c r="F514" i="10"/>
  <c r="F524" i="10"/>
  <c r="F534" i="10"/>
  <c r="F546" i="10"/>
  <c r="F556" i="10"/>
  <c r="F566" i="10"/>
  <c r="F578" i="10"/>
  <c r="F588" i="10"/>
  <c r="F598" i="10"/>
  <c r="F610" i="10"/>
  <c r="F620" i="10"/>
  <c r="F630" i="10"/>
  <c r="F642" i="10"/>
  <c r="F74" i="10"/>
  <c r="F124" i="10"/>
  <c r="F174" i="10"/>
  <c r="F213" i="10"/>
  <c r="F266" i="10"/>
  <c r="F316" i="10"/>
  <c r="F366" i="10"/>
  <c r="F419" i="10"/>
  <c r="F462" i="10"/>
  <c r="F516" i="10"/>
  <c r="F558" i="10"/>
  <c r="F602" i="10"/>
  <c r="F644" i="10"/>
  <c r="F646" i="10"/>
  <c r="F116" i="10"/>
  <c r="F477" i="10"/>
  <c r="F595" i="10"/>
  <c r="F45" i="10"/>
  <c r="F59" i="10"/>
  <c r="F70" i="10"/>
  <c r="F84" i="10"/>
  <c r="F98" i="10"/>
  <c r="F109" i="10"/>
  <c r="F123" i="10"/>
  <c r="F134" i="10"/>
  <c r="F148" i="10"/>
  <c r="F162" i="10"/>
  <c r="F173" i="10"/>
  <c r="F187" i="10"/>
  <c r="F198" i="10"/>
  <c r="F212" i="10"/>
  <c r="F226" i="10"/>
  <c r="F237" i="10"/>
  <c r="F251" i="10"/>
  <c r="F262" i="10"/>
  <c r="F276" i="10"/>
  <c r="F290" i="10"/>
  <c r="F301" i="10"/>
  <c r="F315" i="10"/>
  <c r="F326" i="10"/>
  <c r="F340" i="10"/>
  <c r="F354" i="10"/>
  <c r="F365" i="10"/>
  <c r="F379" i="10"/>
  <c r="F390" i="10"/>
  <c r="F404" i="10"/>
  <c r="F418" i="10"/>
  <c r="F429" i="10"/>
  <c r="F440" i="10"/>
  <c r="F451" i="10"/>
  <c r="F461" i="10"/>
  <c r="F472" i="10"/>
  <c r="F483" i="10"/>
  <c r="F493" i="10"/>
  <c r="F504" i="10"/>
  <c r="F515" i="10"/>
  <c r="F525" i="10"/>
  <c r="F536" i="10"/>
  <c r="F547" i="10"/>
  <c r="F557" i="10"/>
  <c r="F568" i="10"/>
  <c r="F579" i="10"/>
  <c r="F589" i="10"/>
  <c r="F600" i="10"/>
  <c r="F611" i="10"/>
  <c r="F621" i="10"/>
  <c r="F632" i="10"/>
  <c r="F643" i="10"/>
  <c r="F85" i="10"/>
  <c r="F149" i="10"/>
  <c r="F227" i="10"/>
  <c r="F291" i="10"/>
  <c r="F355" i="10"/>
  <c r="F405" i="10"/>
  <c r="F452" i="10"/>
  <c r="F494" i="10"/>
  <c r="F538" i="10"/>
  <c r="F580" i="10"/>
  <c r="F634" i="10"/>
  <c r="F626" i="10"/>
  <c r="F77" i="10"/>
  <c r="F141" i="10"/>
  <c r="F205" i="10"/>
  <c r="F269" i="10"/>
  <c r="F333" i="10"/>
  <c r="F397" i="10"/>
  <c r="F456" i="10"/>
  <c r="F520" i="10"/>
  <c r="F563" i="10"/>
  <c r="F605" i="10"/>
  <c r="F66" i="10"/>
  <c r="F166" i="10"/>
  <c r="F230" i="10"/>
  <c r="F294" i="10"/>
  <c r="F358" i="10"/>
  <c r="F422" i="10"/>
  <c r="F488" i="10"/>
  <c r="F541" i="10"/>
  <c r="F616" i="10"/>
  <c r="F50" i="10"/>
  <c r="F61" i="10"/>
  <c r="F75" i="10"/>
  <c r="F86" i="10"/>
  <c r="F100" i="10"/>
  <c r="F114" i="10"/>
  <c r="F125" i="10"/>
  <c r="F139" i="10"/>
  <c r="F150" i="10"/>
  <c r="F164" i="10"/>
  <c r="F178" i="10"/>
  <c r="F189" i="10"/>
  <c r="F203" i="10"/>
  <c r="F214" i="10"/>
  <c r="F228" i="10"/>
  <c r="F242" i="10"/>
  <c r="F253" i="10"/>
  <c r="F267" i="10"/>
  <c r="F278" i="10"/>
  <c r="F292" i="10"/>
  <c r="F306" i="10"/>
  <c r="F317" i="10"/>
  <c r="F331" i="10"/>
  <c r="F342" i="10"/>
  <c r="F356" i="10"/>
  <c r="F370" i="10"/>
  <c r="F381" i="10"/>
  <c r="F395" i="10"/>
  <c r="F406" i="10"/>
  <c r="F420" i="10"/>
  <c r="F432" i="10"/>
  <c r="F443" i="10"/>
  <c r="F453" i="10"/>
  <c r="F464" i="10"/>
  <c r="F475" i="10"/>
  <c r="F485" i="10"/>
  <c r="F496" i="10"/>
  <c r="F507" i="10"/>
  <c r="F517" i="10"/>
  <c r="F528" i="10"/>
  <c r="F539" i="10"/>
  <c r="F549" i="10"/>
  <c r="F560" i="10"/>
  <c r="F571" i="10"/>
  <c r="F581" i="10"/>
  <c r="F592" i="10"/>
  <c r="F603" i="10"/>
  <c r="F613" i="10"/>
  <c r="F624" i="10"/>
  <c r="F635" i="10"/>
  <c r="F645" i="10"/>
  <c r="F51" i="10"/>
  <c r="F62" i="10"/>
  <c r="F76" i="10"/>
  <c r="F90" i="10"/>
  <c r="F101" i="10"/>
  <c r="F115" i="10"/>
  <c r="F126" i="10"/>
  <c r="F140" i="10"/>
  <c r="F154" i="10"/>
  <c r="F165" i="10"/>
  <c r="F179" i="10"/>
  <c r="F190" i="10"/>
  <c r="F204" i="10"/>
  <c r="F218" i="10"/>
  <c r="F229" i="10"/>
  <c r="F243" i="10"/>
  <c r="F254" i="10"/>
  <c r="F268" i="10"/>
  <c r="F282" i="10"/>
  <c r="F293" i="10"/>
  <c r="F307" i="10"/>
  <c r="F318" i="10"/>
  <c r="F332" i="10"/>
  <c r="F346" i="10"/>
  <c r="F357" i="10"/>
  <c r="F371" i="10"/>
  <c r="F382" i="10"/>
  <c r="F396" i="10"/>
  <c r="F410" i="10"/>
  <c r="F421" i="10"/>
  <c r="F434" i="10"/>
  <c r="F444" i="10"/>
  <c r="F454" i="10"/>
  <c r="F466" i="10"/>
  <c r="F476" i="10"/>
  <c r="F486" i="10"/>
  <c r="F498" i="10"/>
  <c r="F508" i="10"/>
  <c r="F518" i="10"/>
  <c r="F530" i="10"/>
  <c r="F540" i="10"/>
  <c r="F550" i="10"/>
  <c r="F562" i="10"/>
  <c r="F572" i="10"/>
  <c r="F582" i="10"/>
  <c r="F594" i="10"/>
  <c r="F636" i="10"/>
  <c r="F52" i="10"/>
  <c r="F130" i="10"/>
  <c r="F155" i="10"/>
  <c r="F219" i="10"/>
  <c r="F283" i="10"/>
  <c r="F347" i="10"/>
  <c r="F411" i="10"/>
  <c r="F467" i="10"/>
  <c r="F531" i="10"/>
  <c r="F584" i="10"/>
  <c r="F648" i="10"/>
  <c r="F30" i="10"/>
</calcChain>
</file>

<file path=xl/sharedStrings.xml><?xml version="1.0" encoding="utf-8"?>
<sst xmlns="http://schemas.openxmlformats.org/spreadsheetml/2006/main" count="3421" uniqueCount="1670">
  <si>
    <t>Movie ID</t>
  </si>
  <si>
    <t>Movie Title</t>
  </si>
  <si>
    <t>Genre Code</t>
  </si>
  <si>
    <t>Year Produced</t>
  </si>
  <si>
    <t>Lead Actor ID</t>
  </si>
  <si>
    <t>Sequel</t>
  </si>
  <si>
    <t>Domestic Box Office</t>
  </si>
  <si>
    <t>International Box Office</t>
  </si>
  <si>
    <t>Production Budget</t>
  </si>
  <si>
    <t>Avatar</t>
  </si>
  <si>
    <t>No</t>
  </si>
  <si>
    <t>Titanic</t>
  </si>
  <si>
    <t>Jurassic World</t>
  </si>
  <si>
    <t>Yes</t>
  </si>
  <si>
    <t>The Avengers</t>
  </si>
  <si>
    <t>The Dark Knight</t>
  </si>
  <si>
    <t>Star Wars Ep. I: The Phantom Menace</t>
  </si>
  <si>
    <t>Star Wars Ep. IV: A New Hope</t>
  </si>
  <si>
    <t>The Avengers: Age of Ultron</t>
  </si>
  <si>
    <t>The Dark Knight Rises</t>
  </si>
  <si>
    <t>Shrek 2</t>
  </si>
  <si>
    <t>ET: The Extra-Terrestrial</t>
  </si>
  <si>
    <t>The Hunger Games: Catching Fire</t>
  </si>
  <si>
    <t>Pirates of the Caribbean: Dead Man's Chest</t>
  </si>
  <si>
    <t>The Lion King</t>
  </si>
  <si>
    <t>Toy Story 3</t>
  </si>
  <si>
    <t>Iron Man 3</t>
  </si>
  <si>
    <t>The Hunger Games</t>
  </si>
  <si>
    <t>Spider-Man</t>
  </si>
  <si>
    <t>Transformers: Revenge of the Fallen</t>
  </si>
  <si>
    <t>Frozen</t>
  </si>
  <si>
    <t>Jurassic Park</t>
  </si>
  <si>
    <t>Harry Potter and the Deathly Hallows: Part II</t>
  </si>
  <si>
    <t>Finding Nemo</t>
  </si>
  <si>
    <t>Star Wars Ep. III: Revenge of the Sith</t>
  </si>
  <si>
    <t>The Lord of the Rings: The Return of the King</t>
  </si>
  <si>
    <t>Spider-Man 2</t>
  </si>
  <si>
    <t>The Passion of the Christ</t>
  </si>
  <si>
    <t>Despicable Me 2</t>
  </si>
  <si>
    <t>Inside Out</t>
  </si>
  <si>
    <t>Transformers: Dark of the Moon</t>
  </si>
  <si>
    <t>Furious 7</t>
  </si>
  <si>
    <t>American Sniper</t>
  </si>
  <si>
    <t>The Lord of the Rings: The Two Towers</t>
  </si>
  <si>
    <t>The Hunger Games: Mockingjay - Part 1</t>
  </si>
  <si>
    <t>Spider-Man 3</t>
  </si>
  <si>
    <t>Minions</t>
  </si>
  <si>
    <t>Alice in Wonderland</t>
  </si>
  <si>
    <t>Guardians of the Galaxy</t>
  </si>
  <si>
    <t>Forrest Gump</t>
  </si>
  <si>
    <t>Shrek the Third</t>
  </si>
  <si>
    <t>Transformers</t>
  </si>
  <si>
    <t>Iron Man</t>
  </si>
  <si>
    <t>Harry Potter and the Sorcerer’s Stone</t>
  </si>
  <si>
    <t>Indiana Jones and the Kingdom of the Crystal Skull</t>
  </si>
  <si>
    <t>The Lord of the Rings: The Fellowship of the Ring</t>
  </si>
  <si>
    <t>Iron Man 2</t>
  </si>
  <si>
    <t>Pirates of the Caribbean: At World's End</t>
  </si>
  <si>
    <t>Star Wars Ep. VI: Return of the Jedi</t>
  </si>
  <si>
    <t>Independence Day</t>
  </si>
  <si>
    <t>Pirates of the Caribbean: The Curse of the Black Pearl</t>
  </si>
  <si>
    <t>Skyfall</t>
  </si>
  <si>
    <t>The Hobbit: An Unexpected Journey</t>
  </si>
  <si>
    <t>Star Wars Ep. II: Attack of the Clones</t>
  </si>
  <si>
    <t>Harry Potter and the Half-Blood Prince</t>
  </si>
  <si>
    <t>The Twilight Saga: Eclipse</t>
  </si>
  <si>
    <t>The Twilight Saga: New Moon</t>
  </si>
  <si>
    <t>Harry Potter and the Deathly Hallows: Part I</t>
  </si>
  <si>
    <t>The Sixth Sense</t>
  </si>
  <si>
    <t>Up</t>
  </si>
  <si>
    <t>Inception</t>
  </si>
  <si>
    <t>The Twilight Saga: Breaking Dawn, Part 2</t>
  </si>
  <si>
    <t>Harry Potter and the Order of the Phoenix</t>
  </si>
  <si>
    <t>The Chronicles of Narnia: The Lion, the Witch and the Wardrobe</t>
  </si>
  <si>
    <t>Man of Steel</t>
  </si>
  <si>
    <t>Star Wars Ep. V: The Empire Strikes Back</t>
  </si>
  <si>
    <t>Harry Potter and the Goblet of Fire</t>
  </si>
  <si>
    <t>Monsters, Inc.</t>
  </si>
  <si>
    <t>The Matrix Reloaded</t>
  </si>
  <si>
    <t>The Twilight Saga: Breaking Dawn, Part 1</t>
  </si>
  <si>
    <t>Meet the Fockers</t>
  </si>
  <si>
    <t>Home Alone</t>
  </si>
  <si>
    <t>The Hangover</t>
  </si>
  <si>
    <t>Gravity</t>
  </si>
  <si>
    <t>Monsters University</t>
  </si>
  <si>
    <t>Shrek</t>
  </si>
  <si>
    <t>The Amazing Spider-Man</t>
  </si>
  <si>
    <t>Harry Potter and the Chamber of Secrets</t>
  </si>
  <si>
    <t>The Incredibles</t>
  </si>
  <si>
    <t>How the Grinch Stole Christmas</t>
  </si>
  <si>
    <t>Jaws</t>
  </si>
  <si>
    <t>Captain America: The Winter Soldier</t>
  </si>
  <si>
    <t>The Hobbit: The Desolation of Smaug</t>
  </si>
  <si>
    <t>The Lego Movie</t>
  </si>
  <si>
    <t>Star Trek</t>
  </si>
  <si>
    <t>I am Legend</t>
  </si>
  <si>
    <t>The Blind Side</t>
  </si>
  <si>
    <t>The Hobbit: The Battle of the Five Armies</t>
  </si>
  <si>
    <t>The Hangover Part II</t>
  </si>
  <si>
    <t>Despicable Me</t>
  </si>
  <si>
    <t>Night at the Museum</t>
  </si>
  <si>
    <t>Men in Black</t>
  </si>
  <si>
    <t>Harry Potter and the Prisoner of Azkaban</t>
  </si>
  <si>
    <t>Batman</t>
  </si>
  <si>
    <t>Raiders of the Lost Ark</t>
  </si>
  <si>
    <t>Toy Story 2</t>
  </si>
  <si>
    <t>Transformers: Age of Extinction</t>
  </si>
  <si>
    <t>Cars</t>
  </si>
  <si>
    <t>Bruce Almighty</t>
  </si>
  <si>
    <t>Ghostbusters</t>
  </si>
  <si>
    <t>Twister</t>
  </si>
  <si>
    <t>My Big Fat Greek Wedding</t>
  </si>
  <si>
    <t>Maleficent</t>
  </si>
  <si>
    <t>Pirates of the Caribbean: On Stranger Tides</t>
  </si>
  <si>
    <t>Fast and Furious 6</t>
  </si>
  <si>
    <t>Shrek Forever After</t>
  </si>
  <si>
    <t>Brave</t>
  </si>
  <si>
    <t>Oz the Great and Powerful</t>
  </si>
  <si>
    <t>X-Men: The Last Stand</t>
  </si>
  <si>
    <t>War of the Worlds</t>
  </si>
  <si>
    <t>X-Men: Days of Future Past</t>
  </si>
  <si>
    <t>Cast Away</t>
  </si>
  <si>
    <t>Beverly Hills Cop</t>
  </si>
  <si>
    <t>The Lost World: Jurassic Park</t>
  </si>
  <si>
    <t>Star Trek Into Darkness</t>
  </si>
  <si>
    <t>Signs</t>
  </si>
  <si>
    <t>Hancock</t>
  </si>
  <si>
    <t>The Bourne Ultimatum</t>
  </si>
  <si>
    <t>Rush Hour 2</t>
  </si>
  <si>
    <t>WALL-E</t>
  </si>
  <si>
    <t>Big Hero 6</t>
  </si>
  <si>
    <t>National Treasure 2: Book of Secrets</t>
  </si>
  <si>
    <t>Alvin and the Chipmunks: The Squeakquel</t>
  </si>
  <si>
    <t>Beauty and the Beast</t>
  </si>
  <si>
    <t>Mrs. Doubtfire</t>
  </si>
  <si>
    <t>Ted</t>
  </si>
  <si>
    <t>King Kong</t>
  </si>
  <si>
    <t>How to Train Your Dragon</t>
  </si>
  <si>
    <t>The Da Vinci Code</t>
  </si>
  <si>
    <t>Alvin and the Chipmunks</t>
  </si>
  <si>
    <t>Madagascar 3: Europe's Most Wanted</t>
  </si>
  <si>
    <t>Saving Private Ryan</t>
  </si>
  <si>
    <t>Kung Fu Panda</t>
  </si>
  <si>
    <t>Mission: Impossible 2</t>
  </si>
  <si>
    <t>X2</t>
  </si>
  <si>
    <t>Doctor Seuss' The Lorax</t>
  </si>
  <si>
    <t>Austin Powers in Goldmember</t>
  </si>
  <si>
    <t>Back to the Future</t>
  </si>
  <si>
    <t>300</t>
  </si>
  <si>
    <t>Fast Five</t>
  </si>
  <si>
    <t>Mission: Impossible - Ghost Protocol</t>
  </si>
  <si>
    <t>The Wedding Crashers</t>
  </si>
  <si>
    <t>Sherlock Holmes</t>
  </si>
  <si>
    <t>Aladdin</t>
  </si>
  <si>
    <t>Dawn of the Planet of the Apes</t>
  </si>
  <si>
    <t>The Martian</t>
  </si>
  <si>
    <t>Charlie and the Chocolate Factory</t>
  </si>
  <si>
    <t>Ratatouille</t>
  </si>
  <si>
    <t>Thor: The Dark World</t>
  </si>
  <si>
    <t>Ghost</t>
  </si>
  <si>
    <t>Austin Powers: The Spy Who Shagged Me</t>
  </si>
  <si>
    <t>Batman Begins</t>
  </si>
  <si>
    <t>The Exorcist</t>
  </si>
  <si>
    <t>The Amazing Spider-Man 2</t>
  </si>
  <si>
    <t>World War Z</t>
  </si>
  <si>
    <t>The Mummy Returns</t>
  </si>
  <si>
    <t>Terminator 2: Judgment Day</t>
  </si>
  <si>
    <t>Armageddon</t>
  </si>
  <si>
    <t>Cinderella</t>
  </si>
  <si>
    <t>Tangled</t>
  </si>
  <si>
    <t>Godzilla</t>
  </si>
  <si>
    <t>Superman Returns</t>
  </si>
  <si>
    <t>Gone with the Wind</t>
  </si>
  <si>
    <t>Pearl Harbor</t>
  </si>
  <si>
    <t>Monsters vs. Aliens</t>
  </si>
  <si>
    <t>Happy Feet</t>
  </si>
  <si>
    <t>Ice Age: Dawn of the Dinosaurs</t>
  </si>
  <si>
    <t>Indiana Jones and the Last Crusade</t>
  </si>
  <si>
    <t>Ice Age: The Meltdown</t>
  </si>
  <si>
    <t>Mission: Impossible - Rogue Nation</t>
  </si>
  <si>
    <t>The Polar Express</t>
  </si>
  <si>
    <t>Madagascar</t>
  </si>
  <si>
    <t>Twilight</t>
  </si>
  <si>
    <t>22 Jump Street</t>
  </si>
  <si>
    <t>Toy Story</t>
  </si>
  <si>
    <t>Cars 2</t>
  </si>
  <si>
    <t>Teenage Mutant Ninja Turtles</t>
  </si>
  <si>
    <t>Men in Black 2</t>
  </si>
  <si>
    <t>Wreck-It Ralph</t>
  </si>
  <si>
    <t>Interstellar</t>
  </si>
  <si>
    <t>Gladiator</t>
  </si>
  <si>
    <t>The Croods</t>
  </si>
  <si>
    <t>Sherlock Holmes: A Game of Shadows</t>
  </si>
  <si>
    <t>The Day After Tomorrow</t>
  </si>
  <si>
    <t>Mr. and Mrs. Smith</t>
  </si>
  <si>
    <t>Snow White and the Seven Dwarfs</t>
  </si>
  <si>
    <t>Batman Forever</t>
  </si>
  <si>
    <t>Pitch Perfect 2</t>
  </si>
  <si>
    <t>Ocean's Eleven</t>
  </si>
  <si>
    <t>The Simpsons Movie</t>
  </si>
  <si>
    <t>What Women Want</t>
  </si>
  <si>
    <t>The Perfect Storm</t>
  </si>
  <si>
    <t>Lincoln</t>
  </si>
  <si>
    <t>Grease</t>
  </si>
  <si>
    <t>Liar Liar</t>
  </si>
  <si>
    <t>Jurassic Park III</t>
  </si>
  <si>
    <t>Thor</t>
  </si>
  <si>
    <t>Mission: Impossible</t>
  </si>
  <si>
    <t>Planet of the Apes</t>
  </si>
  <si>
    <t>Madagascar: Escape 2 Africa</t>
  </si>
  <si>
    <t>X-Men Origins: Wolverine</t>
  </si>
  <si>
    <t>Top Gun</t>
  </si>
  <si>
    <t>Ant-Man</t>
  </si>
  <si>
    <t>Men in Black 3</t>
  </si>
  <si>
    <t>Hitch</t>
  </si>
  <si>
    <t>Home</t>
  </si>
  <si>
    <t>Night at the Museum: Battle of the Smithsonian</t>
  </si>
  <si>
    <t>How to Train Your Dragon 2</t>
  </si>
  <si>
    <t>Rise of the Planet of the Apes</t>
  </si>
  <si>
    <t>Captain America: The First Avenger</t>
  </si>
  <si>
    <t>The Karate Kid</t>
  </si>
  <si>
    <t>There's Something About Mary</t>
  </si>
  <si>
    <t>Ice Age</t>
  </si>
  <si>
    <t>Tootsie</t>
  </si>
  <si>
    <t>The Bourne Supremacy</t>
  </si>
  <si>
    <t>Dances with Wolves</t>
  </si>
  <si>
    <t>Pretty Woman</t>
  </si>
  <si>
    <t>Indiana Jones and the Temple of Doom</t>
  </si>
  <si>
    <t>Elf</t>
  </si>
  <si>
    <t>National Treasure</t>
  </si>
  <si>
    <t>Air Force One</t>
  </si>
  <si>
    <t>The Fugitive</t>
  </si>
  <si>
    <t>Tron: Legacy</t>
  </si>
  <si>
    <t>Apollo 13</t>
  </si>
  <si>
    <t>The Matrix</t>
  </si>
  <si>
    <t>Tarzan</t>
  </si>
  <si>
    <t>True Grit</t>
  </si>
  <si>
    <t>A Beautiful Mind</t>
  </si>
  <si>
    <t>Chicago</t>
  </si>
  <si>
    <t>Home Alone 2: Lost in New York</t>
  </si>
  <si>
    <t>The Help</t>
  </si>
  <si>
    <t>Quantum of Solace</t>
  </si>
  <si>
    <t>Bridesmaids</t>
  </si>
  <si>
    <t>Wild Hogs</t>
  </si>
  <si>
    <t>Crocodile Dundee</t>
  </si>
  <si>
    <t>Rain Man</t>
  </si>
  <si>
    <t>Gone Girl</t>
  </si>
  <si>
    <t>Casino Royale</t>
  </si>
  <si>
    <t>Meet the Parents</t>
  </si>
  <si>
    <t>Fifty Shades of Grey</t>
  </si>
  <si>
    <t>2012</t>
  </si>
  <si>
    <t>Close Encounters of the Third Kind</t>
  </si>
  <si>
    <t>Hotel Transylvania 2</t>
  </si>
  <si>
    <t>Robin Hood: Prince of Thieves</t>
  </si>
  <si>
    <t>Kung Fu Panda 2</t>
  </si>
  <si>
    <t>Hannibal</t>
  </si>
  <si>
    <t>Catch Me if You Can</t>
  </si>
  <si>
    <t>3 Men and a Baby</t>
  </si>
  <si>
    <t>The Proposal</t>
  </si>
  <si>
    <t>Big Daddy</t>
  </si>
  <si>
    <t>Clash of the Titans</t>
  </si>
  <si>
    <t>The Sound of Music</t>
  </si>
  <si>
    <t>The SpongeBob Movie: Sponge Out of Water</t>
  </si>
  <si>
    <t>Batman Returns</t>
  </si>
  <si>
    <t>Django Unchained</t>
  </si>
  <si>
    <t>A Bug's Life</t>
  </si>
  <si>
    <t>The Pursuit of Happyness</t>
  </si>
  <si>
    <t>Grown Ups</t>
  </si>
  <si>
    <t>The Waterboy</t>
  </si>
  <si>
    <t>Shark Tale</t>
  </si>
  <si>
    <t>Ice Age: Continental Drift</t>
  </si>
  <si>
    <t>Straight Outta Compton</t>
  </si>
  <si>
    <t>Die Another Day</t>
  </si>
  <si>
    <t>The Sting</t>
  </si>
  <si>
    <t>The Heat</t>
  </si>
  <si>
    <t>The Firm</t>
  </si>
  <si>
    <t>The Longest Yard</t>
  </si>
  <si>
    <t>X-Men</t>
  </si>
  <si>
    <t>Scary Movie</t>
  </si>
  <si>
    <t>What Lies Beneath</t>
  </si>
  <si>
    <t>The Mummy</t>
  </si>
  <si>
    <t>San Andreas</t>
  </si>
  <si>
    <t>Snow White and the Huntsman</t>
  </si>
  <si>
    <t>Fast &amp; Furious</t>
  </si>
  <si>
    <t>Over the Hedge</t>
  </si>
  <si>
    <t>Fantastic Four</t>
  </si>
  <si>
    <t>Horton Hears a Who</t>
  </si>
  <si>
    <t>Mad Max: Fury Road</t>
  </si>
  <si>
    <t>Jerry Maguire</t>
  </si>
  <si>
    <t>Scooby-Doo</t>
  </si>
  <si>
    <t>101 Dalmatians</t>
  </si>
  <si>
    <t>Beverly Hills Cop II</t>
  </si>
  <si>
    <t>Sex and the City</t>
  </si>
  <si>
    <t>Runaway Bride</t>
  </si>
  <si>
    <t>Who Framed Roger Rabbit?</t>
  </si>
  <si>
    <t>Divergent</t>
  </si>
  <si>
    <t>Rambo: First Blood Part II</t>
  </si>
  <si>
    <t>We're the Millers</t>
  </si>
  <si>
    <t>Terminator 3: Rise of the Machines</t>
  </si>
  <si>
    <t>G.I. Joe: The Rise of Cobra</t>
  </si>
  <si>
    <t>American Hustle</t>
  </si>
  <si>
    <t>Neighbors</t>
  </si>
  <si>
    <t>Puss in Boots</t>
  </si>
  <si>
    <t>Les Miserables</t>
  </si>
  <si>
    <t>Knocked Up</t>
  </si>
  <si>
    <t>Fatal Attraction</t>
  </si>
  <si>
    <t>Little Fockers</t>
  </si>
  <si>
    <t>Megamind</t>
  </si>
  <si>
    <t>Hotel Transylvania</t>
  </si>
  <si>
    <t>Talladega Nights: The Ballad of Ricky Bobby</t>
  </si>
  <si>
    <t>Gremlins</t>
  </si>
  <si>
    <t>Gran Torino</t>
  </si>
  <si>
    <t>As Good as it Gets</t>
  </si>
  <si>
    <t>X-Men: First Class</t>
  </si>
  <si>
    <t>Paul Blart: Mall Cop</t>
  </si>
  <si>
    <t>True Lies</t>
  </si>
  <si>
    <t>Lilo &amp; Stitch</t>
  </si>
  <si>
    <t>American Pie 2</t>
  </si>
  <si>
    <t>Taken</t>
  </si>
  <si>
    <t>The Great Gatsby</t>
  </si>
  <si>
    <t>I, Robot</t>
  </si>
  <si>
    <t>The Santa Clause</t>
  </si>
  <si>
    <t>The Fast and the Furious</t>
  </si>
  <si>
    <t>Doctor Dolittle</t>
  </si>
  <si>
    <t>Mamma Mia!</t>
  </si>
  <si>
    <t>Rio</t>
  </si>
  <si>
    <t>Juno</t>
  </si>
  <si>
    <t>Marley &amp; Me</t>
  </si>
  <si>
    <t>The Smurfs</t>
  </si>
  <si>
    <t>Lethal Weapon 2</t>
  </si>
  <si>
    <t>The Jungle Book</t>
  </si>
  <si>
    <t>xXx</t>
  </si>
  <si>
    <t>The Chronicles of Narnia: Prince Caspian</t>
  </si>
  <si>
    <t>National Lampoon's Animal House</t>
  </si>
  <si>
    <t>Pocahontas</t>
  </si>
  <si>
    <t>Slumdog Millionaire</t>
  </si>
  <si>
    <t>Rush Hour</t>
  </si>
  <si>
    <t>The Blair Witch Project</t>
  </si>
  <si>
    <t>A Few Good Men</t>
  </si>
  <si>
    <t>Deep Impact</t>
  </si>
  <si>
    <t>The Rocky Horror Picture Show</t>
  </si>
  <si>
    <t>Rush Hour 3</t>
  </si>
  <si>
    <t>Stuart Little</t>
  </si>
  <si>
    <t>Taken 2</t>
  </si>
  <si>
    <t>Lethal Weapon 3</t>
  </si>
  <si>
    <t>Saturday Night Fever</t>
  </si>
  <si>
    <t>The Matrix Revolutions</t>
  </si>
  <si>
    <t>The Santa Clause 2</t>
  </si>
  <si>
    <t>The King’s Speech</t>
  </si>
  <si>
    <t>Cheaper by the Dozen</t>
  </si>
  <si>
    <t>Bad Boys II</t>
  </si>
  <si>
    <t>21 Jump Street</t>
  </si>
  <si>
    <t>Good Will Hunting</t>
  </si>
  <si>
    <t>Disney's A Christmas Carol</t>
  </si>
  <si>
    <t>Dinosaur</t>
  </si>
  <si>
    <t>The Conjuring</t>
  </si>
  <si>
    <t>Click</t>
  </si>
  <si>
    <t>The Green Mile</t>
  </si>
  <si>
    <t>Ransom</t>
  </si>
  <si>
    <t>Argo</t>
  </si>
  <si>
    <t>Anger Management</t>
  </si>
  <si>
    <t>Chicken Little</t>
  </si>
  <si>
    <t>Patch Adams</t>
  </si>
  <si>
    <t>Look Who's Talking</t>
  </si>
  <si>
    <t>The Godfather</t>
  </si>
  <si>
    <t>Spectre</t>
  </si>
  <si>
    <t>The Incredible Hulk</t>
  </si>
  <si>
    <t>Live Free or Die Hard</t>
  </si>
  <si>
    <t>Identity Thief</t>
  </si>
  <si>
    <t>Wanted</t>
  </si>
  <si>
    <t>Superman</t>
  </si>
  <si>
    <t>Ride Along</t>
  </si>
  <si>
    <t>The Rock</t>
  </si>
  <si>
    <t>Grown Ups 2</t>
  </si>
  <si>
    <t>Mission: Impossible III</t>
  </si>
  <si>
    <t>Angels &amp; Demons</t>
  </si>
  <si>
    <t>Troy</t>
  </si>
  <si>
    <t>Alvin and the Chipmunks: Chipwrecked</t>
  </si>
  <si>
    <t>Platoon</t>
  </si>
  <si>
    <t>Bringing Down the House</t>
  </si>
  <si>
    <t>The Wolverine</t>
  </si>
  <si>
    <t>The Departed</t>
  </si>
  <si>
    <t>Sister Act</t>
  </si>
  <si>
    <t>Hulk</t>
  </si>
  <si>
    <t>Silver Linings Playbook</t>
  </si>
  <si>
    <t>Minority Report</t>
  </si>
  <si>
    <t>Fantastic Four: Rise of the Silver Surfer</t>
  </si>
  <si>
    <t>The Last Airbender</t>
  </si>
  <si>
    <t>Rio 2</t>
  </si>
  <si>
    <t>Lara Croft: Tomb Raider</t>
  </si>
  <si>
    <t>Get Smart</t>
  </si>
  <si>
    <t>Insurgent</t>
  </si>
  <si>
    <t>American Gangster</t>
  </si>
  <si>
    <t>American Beauty</t>
  </si>
  <si>
    <t>Honey, I Shrunk the Kids</t>
  </si>
  <si>
    <t>Lethal Weapon 4</t>
  </si>
  <si>
    <t>The Ring</t>
  </si>
  <si>
    <t>The Nutty Professor</t>
  </si>
  <si>
    <t>Borat</t>
  </si>
  <si>
    <t>Kingsman: The Secret Service</t>
  </si>
  <si>
    <t>Robots</t>
  </si>
  <si>
    <t>Crouching Tiger, Hidden Dragon</t>
  </si>
  <si>
    <t>Shutter Island</t>
  </si>
  <si>
    <t>Into the Woods</t>
  </si>
  <si>
    <t>Enchanted</t>
  </si>
  <si>
    <t>The Curious Case of Benjamin Button</t>
  </si>
  <si>
    <t>Anchorman 2: The Legend Continues</t>
  </si>
  <si>
    <t>An Officer and a Gentleman</t>
  </si>
  <si>
    <t>Sweet Home Alabama</t>
  </si>
  <si>
    <t>Dumb &amp; Dumber</t>
  </si>
  <si>
    <t>2 Fast 2 Furious</t>
  </si>
  <si>
    <t>Super 8</t>
  </si>
  <si>
    <t>The World is Not Enough</t>
  </si>
  <si>
    <t>My Best Friend's Wedding</t>
  </si>
  <si>
    <t>Smokey and the Bandit</t>
  </si>
  <si>
    <t>Bee Movie</t>
  </si>
  <si>
    <t>Lucy</t>
  </si>
  <si>
    <t>Prometheus</t>
  </si>
  <si>
    <t>Mr. Deeds</t>
  </si>
  <si>
    <t>Safe House</t>
  </si>
  <si>
    <t>The Dream is Alive</t>
  </si>
  <si>
    <t>Erin Brockovich</t>
  </si>
  <si>
    <t>Ocean's Twelve</t>
  </si>
  <si>
    <t>The Truman Show</t>
  </si>
  <si>
    <t>The Flintstones</t>
  </si>
  <si>
    <t>Terminator Salvation</t>
  </si>
  <si>
    <t>Charlie's Angels</t>
  </si>
  <si>
    <t>Tomorrow Never Dies</t>
  </si>
  <si>
    <t>Lone Survivor</t>
  </si>
  <si>
    <t>The Vow</t>
  </si>
  <si>
    <t>Life of Pi</t>
  </si>
  <si>
    <t>The Fault in Our Stars</t>
  </si>
  <si>
    <t>Cloudy with a Chance of Meatballs</t>
  </si>
  <si>
    <t>The Devil Wears Prada</t>
  </si>
  <si>
    <t>Something's Gotta Give</t>
  </si>
  <si>
    <t>The Silence of the Lambs</t>
  </si>
  <si>
    <t>Traffic</t>
  </si>
  <si>
    <t>Rocky IV</t>
  </si>
  <si>
    <t>The Birdcage</t>
  </si>
  <si>
    <t>Nutty Professor II: The Klumps</t>
  </si>
  <si>
    <t>Rango</t>
  </si>
  <si>
    <t>G.I. Joe: Retaliation</t>
  </si>
  <si>
    <t>Clear and Present Danger</t>
  </si>
  <si>
    <t>Good Morning Vietnam</t>
  </si>
  <si>
    <t>The Bourne Identity</t>
  </si>
  <si>
    <t>Superbad</t>
  </si>
  <si>
    <t>Coming to America</t>
  </si>
  <si>
    <t>50 First Dates</t>
  </si>
  <si>
    <t>Inglourious Basterds</t>
  </si>
  <si>
    <t>Mulan</t>
  </si>
  <si>
    <t>Speed</t>
  </si>
  <si>
    <t>Seabiscuit</t>
  </si>
  <si>
    <t>Van Helsing</t>
  </si>
  <si>
    <t>Four Christmases</t>
  </si>
  <si>
    <t>The Mask</t>
  </si>
  <si>
    <t>Cloudy with a Chance of Meatballs 2</t>
  </si>
  <si>
    <t>I Now Pronounce You Chuck and Larry</t>
  </si>
  <si>
    <t>Walk the Line</t>
  </si>
  <si>
    <t>Blazing Saddles</t>
  </si>
  <si>
    <t>G-Force</t>
  </si>
  <si>
    <t>Wayne's World</t>
  </si>
  <si>
    <t>Rocky III</t>
  </si>
  <si>
    <t>The Other Guys</t>
  </si>
  <si>
    <t>Fahrenheit 9/11</t>
  </si>
  <si>
    <t>Hairspray</t>
  </si>
  <si>
    <t>On Golden Pond</t>
  </si>
  <si>
    <t>The Break-Up</t>
  </si>
  <si>
    <t>Lemony Snicket's A Series of Unfortunate Events</t>
  </si>
  <si>
    <t>The Sum of All Fears</t>
  </si>
  <si>
    <t>Salt</t>
  </si>
  <si>
    <t>Blades of Glory</t>
  </si>
  <si>
    <t>Now You See Me</t>
  </si>
  <si>
    <t>Big Momma's House</t>
  </si>
  <si>
    <t>Horrible Bosses</t>
  </si>
  <si>
    <t>Die Hard 2</t>
  </si>
  <si>
    <t>Rocky</t>
  </si>
  <si>
    <t>Jackass 3D</t>
  </si>
  <si>
    <t>Ocean's Thirteen</t>
  </si>
  <si>
    <t>The Wolf of Wall Street</t>
  </si>
  <si>
    <t>S.W.A.T.</t>
  </si>
  <si>
    <t>Sleepless in Seattle</t>
  </si>
  <si>
    <t>Double Jeopardy</t>
  </si>
  <si>
    <t>8 Mile</t>
  </si>
  <si>
    <t>Lee Daniels' The Butler</t>
  </si>
  <si>
    <t>Green Lantern</t>
  </si>
  <si>
    <t>Notting Hill</t>
  </si>
  <si>
    <t>City Slickers</t>
  </si>
  <si>
    <t>Towering Inferno</t>
  </si>
  <si>
    <t>Basic Instinct</t>
  </si>
  <si>
    <t>Ghost Rider</t>
  </si>
  <si>
    <t>You've Got Mail</t>
  </si>
  <si>
    <t>Remember the Titans</t>
  </si>
  <si>
    <t>District 9</t>
  </si>
  <si>
    <t>Unbroken</t>
  </si>
  <si>
    <t>American Graffiti</t>
  </si>
  <si>
    <t>Dodgeball: A True Underdog Story</t>
  </si>
  <si>
    <t>The Village</t>
  </si>
  <si>
    <t>Bolt</t>
  </si>
  <si>
    <t>Wild Wild West</t>
  </si>
  <si>
    <t>Night at the Museum: Secret of the Tomb</t>
  </si>
  <si>
    <t>Magic Mike</t>
  </si>
  <si>
    <t>The Addams Family</t>
  </si>
  <si>
    <t>The Hunt for Red October</t>
  </si>
  <si>
    <t>The Patriot</t>
  </si>
  <si>
    <t>Big</t>
  </si>
  <si>
    <t>The Bourne Legacy</t>
  </si>
  <si>
    <t>The Pacifier</t>
  </si>
  <si>
    <t>Doctor Dolittle 2</t>
  </si>
  <si>
    <t>It's Complicated</t>
  </si>
  <si>
    <t>Spy Kids</t>
  </si>
  <si>
    <t>Face/Off</t>
  </si>
  <si>
    <t>The Hangover 3</t>
  </si>
  <si>
    <t>Twins</t>
  </si>
  <si>
    <t>Spy Kids 3-D: Game Over</t>
  </si>
  <si>
    <t>Doctor Zhivago</t>
  </si>
  <si>
    <t>The Bodyguard</t>
  </si>
  <si>
    <t>Enemy of the State</t>
  </si>
  <si>
    <t>Mr. Peabody &amp; Sherman</t>
  </si>
  <si>
    <t>The Last Samurai</t>
  </si>
  <si>
    <t>Spy!</t>
  </si>
  <si>
    <t>The Karate Kid, Part II</t>
  </si>
  <si>
    <t>Fun With Dick And Jane</t>
  </si>
  <si>
    <t>Valentine's Day</t>
  </si>
  <si>
    <t>Tropic Thunder</t>
  </si>
  <si>
    <t>Freaky Friday</t>
  </si>
  <si>
    <t>The Grudge</t>
  </si>
  <si>
    <t>Bedtime Stories</t>
  </si>
  <si>
    <t>Trainwreck</t>
  </si>
  <si>
    <t>Ghostbusters II</t>
  </si>
  <si>
    <t>Scary Movie 3</t>
  </si>
  <si>
    <t>Hook</t>
  </si>
  <si>
    <t>The Little Mermaid</t>
  </si>
  <si>
    <t>Crocodile Dundee 2</t>
  </si>
  <si>
    <t>The 40 Year-old Virgin</t>
  </si>
  <si>
    <t>Couples Retreat</t>
  </si>
  <si>
    <t>Back to the Future Part II</t>
  </si>
  <si>
    <t>One Flew Over the Cuckoo's Nest</t>
  </si>
  <si>
    <t>A Time to Kill</t>
  </si>
  <si>
    <t>Black Hawk Down</t>
  </si>
  <si>
    <t>Total Recall</t>
  </si>
  <si>
    <t>Ace Ventura: When Nature Calls</t>
  </si>
  <si>
    <t>The Princess Diaries</t>
  </si>
  <si>
    <t>Hop</t>
  </si>
  <si>
    <t>Paranormal Activity</t>
  </si>
  <si>
    <t>Pulp Fiction</t>
  </si>
  <si>
    <t>Epic</t>
  </si>
  <si>
    <t>Watchmen</t>
  </si>
  <si>
    <t>A League of Their Own</t>
  </si>
  <si>
    <t>Batman &amp; Robin</t>
  </si>
  <si>
    <t>Captain Phillips</t>
  </si>
  <si>
    <t>Star Trek IV: The Voyage Home</t>
  </si>
  <si>
    <t>Black Swan</t>
  </si>
  <si>
    <t>Analyze This</t>
  </si>
  <si>
    <t>Miss Congeniality</t>
  </si>
  <si>
    <t>Chicken Run</t>
  </si>
  <si>
    <t>300: Rise of an Empire</t>
  </si>
  <si>
    <t>Love Story</t>
  </si>
  <si>
    <t>The Italian Job</t>
  </si>
  <si>
    <t>Goldeneye</t>
  </si>
  <si>
    <t>How to Lose a Guy in 10 Days</t>
  </si>
  <si>
    <t>The First Wives Club</t>
  </si>
  <si>
    <t>Robin Hood</t>
  </si>
  <si>
    <t>Terms of Endearment</t>
  </si>
  <si>
    <t>George Of The Jungle</t>
  </si>
  <si>
    <t>Interview with the Vampire: The Vampire Chronicles</t>
  </si>
  <si>
    <t>Porky's</t>
  </si>
  <si>
    <t>Phenomenon</t>
  </si>
  <si>
    <t>The Princess and the Frog</t>
  </si>
  <si>
    <t>The Graduate</t>
  </si>
  <si>
    <t>The Chronicles of Narnia: The Voyage of the Dawn Treader</t>
  </si>
  <si>
    <t>American Wedding</t>
  </si>
  <si>
    <t>Every Which Way but Loose</t>
  </si>
  <si>
    <t>Daddy Day Care</t>
  </si>
  <si>
    <t>The Road to Perdition</t>
  </si>
  <si>
    <t>Paranormal Activity 3</t>
  </si>
  <si>
    <t>Journey 2: The Mysterious Island</t>
  </si>
  <si>
    <t>Rise of the Guardians</t>
  </si>
  <si>
    <t>Dreamgirls</t>
  </si>
  <si>
    <t>The Expendables</t>
  </si>
  <si>
    <t>Just Go With It</t>
  </si>
  <si>
    <t>Scream</t>
  </si>
  <si>
    <t>Jaws 2</t>
  </si>
  <si>
    <t>Bambi</t>
  </si>
  <si>
    <t>The General's Daughter</t>
  </si>
  <si>
    <t>Driving Miss Daisy</t>
  </si>
  <si>
    <t>The Aviator</t>
  </si>
  <si>
    <t>Daredevil</t>
  </si>
  <si>
    <t>The Girl with the Dragon Tattoo</t>
  </si>
  <si>
    <t>The Maze Runner</t>
  </si>
  <si>
    <t>Butch Cassidy and the Sundance Kid</t>
  </si>
  <si>
    <t>Mary Poppins</t>
  </si>
  <si>
    <t>The Mummy: Tomb of the Dragon Emperor</t>
  </si>
  <si>
    <t>Jackass Presents: Bad Grandpa</t>
  </si>
  <si>
    <t>Pacific Rim</t>
  </si>
  <si>
    <t>American Pie</t>
  </si>
  <si>
    <t>Journey to the Center of the Earth</t>
  </si>
  <si>
    <t>Gone in 60 Seconds</t>
  </si>
  <si>
    <t>The Equalizer</t>
  </si>
  <si>
    <t>This is the End</t>
  </si>
  <si>
    <t>Eagle Eye</t>
  </si>
  <si>
    <t>Superman II</t>
  </si>
  <si>
    <t>Scream 2</t>
  </si>
  <si>
    <t>Stir Crazy</t>
  </si>
  <si>
    <t>Eraser</t>
  </si>
  <si>
    <t>Indecent Proposal</t>
  </si>
  <si>
    <t>The Prince of Egypt</t>
  </si>
  <si>
    <t>Noah</t>
  </si>
  <si>
    <t>Con Air</t>
  </si>
  <si>
    <t>Sleepy Hollow</t>
  </si>
  <si>
    <t>The Cat in the Hat</t>
  </si>
  <si>
    <t>Maverick</t>
  </si>
  <si>
    <t>Charlie's Angels: Full Throttle</t>
  </si>
  <si>
    <t>Contact</t>
  </si>
  <si>
    <t>The Pelican Brief</t>
  </si>
  <si>
    <t>Vanilla Sky</t>
  </si>
  <si>
    <t>Due Date</t>
  </si>
  <si>
    <t>The Rugrats Movie</t>
  </si>
  <si>
    <t>Airport</t>
  </si>
  <si>
    <t>Step Brothers</t>
  </si>
  <si>
    <t>Million Dollar Baby</t>
  </si>
  <si>
    <t>Nine to Five</t>
  </si>
  <si>
    <t>Bad Teacher</t>
  </si>
  <si>
    <t>Evan Almighty</t>
  </si>
  <si>
    <t>Yogi Bear</t>
  </si>
  <si>
    <t>Shakespeare in Love</t>
  </si>
  <si>
    <t>Cowboys and Aliens</t>
  </si>
  <si>
    <t>Casper</t>
  </si>
  <si>
    <t>Edge of Tomorrow</t>
  </si>
  <si>
    <t>Collateral</t>
  </si>
  <si>
    <t>The Hunchback of Notre Dame</t>
  </si>
  <si>
    <t>Jumanji</t>
  </si>
  <si>
    <t>Se7en</t>
  </si>
  <si>
    <t>You Don't Mess With the Zohan</t>
  </si>
  <si>
    <t>In the Line of Fire</t>
  </si>
  <si>
    <t>Die Hard: With a Vengeance</t>
  </si>
  <si>
    <t>Gnomeo and Juliet</t>
  </si>
  <si>
    <t>Unforgiven</t>
  </si>
  <si>
    <t>Dick Tracy</t>
  </si>
  <si>
    <t>Hercules</t>
  </si>
  <si>
    <t>Kramer vs. Kramer</t>
  </si>
  <si>
    <t>Olympus Has Fallen</t>
  </si>
  <si>
    <t>Heaven Can Wait</t>
  </si>
  <si>
    <t>The Green Hornet</t>
  </si>
  <si>
    <t>Date Night</t>
  </si>
  <si>
    <t>Sleeping with the Enemy</t>
  </si>
  <si>
    <t>Billy Jack</t>
  </si>
  <si>
    <t>Meet the Robinsons</t>
  </si>
  <si>
    <t>Yes Man</t>
  </si>
  <si>
    <t>Inspector Gadget</t>
  </si>
  <si>
    <t>Public Enemies</t>
  </si>
  <si>
    <t>The Social Network</t>
  </si>
  <si>
    <t>The Others</t>
  </si>
  <si>
    <t>Legally Blonde</t>
  </si>
  <si>
    <t>Zero Dark Thirty</t>
  </si>
  <si>
    <t>Cold Mountain</t>
  </si>
  <si>
    <t>Schindler's List</t>
  </si>
  <si>
    <t>Parenthood</t>
  </si>
  <si>
    <t>Norbit</t>
  </si>
  <si>
    <t>Sex and the City 2</t>
  </si>
  <si>
    <t>Michael</t>
  </si>
  <si>
    <t>Panic Room</t>
  </si>
  <si>
    <t>The Princess Diaries 2: Royal Engagement</t>
  </si>
  <si>
    <t>42</t>
  </si>
  <si>
    <t>Unbreakable</t>
  </si>
  <si>
    <t>The Book of Eli</t>
  </si>
  <si>
    <t>10,000 B.C.</t>
  </si>
  <si>
    <t>Beverly Hills Chihuahua</t>
  </si>
  <si>
    <t>Dead Poets' Society</t>
  </si>
  <si>
    <t>Julie &amp; Julia</t>
  </si>
  <si>
    <t>He's Just Not That Into You</t>
  </si>
  <si>
    <t>Maid in Manhattan</t>
  </si>
  <si>
    <t>Master and Commander: The Far Side of the World</t>
  </si>
  <si>
    <t>Flight</t>
  </si>
  <si>
    <t>The Mask of Zorro</t>
  </si>
  <si>
    <t>The Fighter</t>
  </si>
  <si>
    <t>America's Sweethearts</t>
  </si>
  <si>
    <t>Lady and the Tramp</t>
  </si>
  <si>
    <t>The Color Purple</t>
  </si>
  <si>
    <t>The Bucket List</t>
  </si>
  <si>
    <t>Tomorrowland</t>
  </si>
  <si>
    <t>Cats &amp; Dogs</t>
  </si>
  <si>
    <t>Two Weeks Notice</t>
  </si>
  <si>
    <t>The Poseidon Adventure</t>
  </si>
  <si>
    <t>Space Station</t>
  </si>
  <si>
    <t>Elysium</t>
  </si>
  <si>
    <t>Flubber</t>
  </si>
  <si>
    <t>Red Dragon</t>
  </si>
  <si>
    <t>The Town</t>
  </si>
  <si>
    <t>The Client</t>
  </si>
  <si>
    <t>Star Trek: First Contact</t>
  </si>
  <si>
    <t>When Harry Met Sally…</t>
  </si>
  <si>
    <t>Non-Stop</t>
  </si>
  <si>
    <t>Think Like a Man</t>
  </si>
  <si>
    <t>Heaven is for Real</t>
  </si>
  <si>
    <t>Crimson Tide</t>
  </si>
  <si>
    <t>The Haunting</t>
  </si>
  <si>
    <t>The Imitation Game</t>
  </si>
  <si>
    <t>Save the Last Dance</t>
  </si>
  <si>
    <t>Stepmom</t>
  </si>
  <si>
    <t>Prince of Persia: Sands of Time</t>
  </si>
  <si>
    <t>Scary Movie 4</t>
  </si>
  <si>
    <t>The Game Plan</t>
  </si>
  <si>
    <t>Antz</t>
  </si>
  <si>
    <t>The Scorpion King</t>
  </si>
  <si>
    <t>Me, Myself &amp; Irene</t>
  </si>
  <si>
    <t>High School Musical 3: Senior Year</t>
  </si>
  <si>
    <t>Madea Goes To Jail</t>
  </si>
  <si>
    <t>Flashdance</t>
  </si>
  <si>
    <t>Space Cowboys</t>
  </si>
  <si>
    <t>Space Jam</t>
  </si>
  <si>
    <t>Get Hard</t>
  </si>
  <si>
    <t>Red</t>
  </si>
  <si>
    <t>Disney Planes</t>
  </si>
  <si>
    <t>Legally Blonde 2: Red, White &amp; Blonde</t>
  </si>
  <si>
    <t>Mystic River</t>
  </si>
  <si>
    <t>Terminator: Genisys</t>
  </si>
  <si>
    <t>Flightplan</t>
  </si>
  <si>
    <t>Father of the Bride</t>
  </si>
  <si>
    <t>The Emperor's New Groove</t>
  </si>
  <si>
    <t>The Lone Ranger</t>
  </si>
  <si>
    <t>Taken 3</t>
  </si>
  <si>
    <t>Scream 3</t>
  </si>
  <si>
    <t>Oblivion</t>
  </si>
  <si>
    <t>The Trial of Billy Jack</t>
  </si>
  <si>
    <t>The Ugly Truth</t>
  </si>
  <si>
    <t>Kindergarten Cop</t>
  </si>
  <si>
    <t>Percy Jackson &amp; the Olympians: The Lightning Thief</t>
  </si>
  <si>
    <t>Failure to Launch</t>
  </si>
  <si>
    <t>The Muppets</t>
  </si>
  <si>
    <t>Trading Places</t>
  </si>
  <si>
    <t>Inside Man</t>
  </si>
  <si>
    <t>Waterworld</t>
  </si>
  <si>
    <t>Starsky &amp; Hutch</t>
  </si>
  <si>
    <t>Along Came Polly</t>
  </si>
  <si>
    <t>The Hand That Rocks the Cradle</t>
  </si>
  <si>
    <t>Entrapment</t>
  </si>
  <si>
    <t>Back to the Future Part III</t>
  </si>
  <si>
    <t>Peter Pan</t>
  </si>
  <si>
    <t>The Pineapple Express</t>
  </si>
  <si>
    <t>Everest</t>
  </si>
  <si>
    <t>Saw II</t>
  </si>
  <si>
    <t>The Campaign</t>
  </si>
  <si>
    <t>Back to School</t>
  </si>
  <si>
    <t>To Fly!</t>
  </si>
  <si>
    <t>The Amityville Horror</t>
  </si>
  <si>
    <t>Young Frankenstein</t>
  </si>
  <si>
    <t>Dumb and Dumber To</t>
  </si>
  <si>
    <t>Mean Girls</t>
  </si>
  <si>
    <t>Annie</t>
  </si>
  <si>
    <t>Spy Kids 2: The Island of Lost Dreams</t>
  </si>
  <si>
    <t>Fury</t>
  </si>
  <si>
    <t>The Naked Gun 2½: The Smell of Fear</t>
  </si>
  <si>
    <t>Pokemon: The First Movie</t>
  </si>
  <si>
    <t>Real Steel</t>
  </si>
  <si>
    <t>SpongeBob SquarePants: The Movie</t>
  </si>
  <si>
    <t>Brother Bear</t>
  </si>
  <si>
    <t>Rocky 2</t>
  </si>
  <si>
    <t>Aliens</t>
  </si>
  <si>
    <t>The Expendables 2</t>
  </si>
  <si>
    <t>Dangerous Minds</t>
  </si>
  <si>
    <t>Paranormal Activity 2</t>
  </si>
  <si>
    <t>Tammy</t>
  </si>
  <si>
    <t>The Santa Clause 3: The Escape Clause</t>
  </si>
  <si>
    <t>The Peanuts Movie</t>
  </si>
  <si>
    <t>Crazy, Stupid, Love</t>
  </si>
  <si>
    <t>Open Season</t>
  </si>
  <si>
    <t>Pinocchio</t>
  </si>
  <si>
    <t>Annabelle</t>
  </si>
  <si>
    <t>Scooby-Doo 2: Monsters Unleashed</t>
  </si>
  <si>
    <t>Anchorman: The Legend of Ron Burgundy</t>
  </si>
  <si>
    <t>Atlantis: The Lost Empire</t>
  </si>
  <si>
    <t>Cliffhanger</t>
  </si>
  <si>
    <t>The Other Woman</t>
  </si>
  <si>
    <t>The X Files: Fight the Future</t>
  </si>
  <si>
    <t>Up in the Air</t>
  </si>
  <si>
    <t>The Goodbye Girl</t>
  </si>
  <si>
    <t>Wrath of the Titans</t>
  </si>
  <si>
    <t>Insidious Chapter 2</t>
  </si>
  <si>
    <t>Battle: Los Angeles</t>
  </si>
  <si>
    <t>Immortals</t>
  </si>
  <si>
    <t>Airplane!</t>
  </si>
  <si>
    <t>Penguins of Madagascar</t>
  </si>
  <si>
    <t>Stripes</t>
  </si>
  <si>
    <t>Fantasia</t>
  </si>
  <si>
    <t>Saving Mr. Banks</t>
  </si>
  <si>
    <t>Patriot Games</t>
  </si>
  <si>
    <t>The War of the Roses</t>
  </si>
  <si>
    <t>Valkyrie</t>
  </si>
  <si>
    <t>Brokeback Mountain</t>
  </si>
  <si>
    <t>Turbo</t>
  </si>
  <si>
    <t>Disclosure</t>
  </si>
  <si>
    <t>Monster-in-Law</t>
  </si>
  <si>
    <t>The Descendants</t>
  </si>
  <si>
    <t>Charlotte's Web</t>
  </si>
  <si>
    <t>Cheaper by the Dozen 2</t>
  </si>
  <si>
    <t>Freddy vs. Jason</t>
  </si>
  <si>
    <t>Mr. Holland's Opus</t>
  </si>
  <si>
    <t>Let’s Be Cops</t>
  </si>
  <si>
    <t>Under Siege</t>
  </si>
  <si>
    <t>Are We There Yet?</t>
  </si>
  <si>
    <t>Star Trek: The Motion Picture</t>
  </si>
  <si>
    <t>Bridge to Terabithia</t>
  </si>
  <si>
    <t>The Pink Panther</t>
  </si>
  <si>
    <t>Beowulf</t>
  </si>
  <si>
    <t>Presumed Innocent</t>
  </si>
  <si>
    <t>Blade 2</t>
  </si>
  <si>
    <t>Eight Below</t>
  </si>
  <si>
    <t>M*A*S*H</t>
  </si>
  <si>
    <t>Unstoppable</t>
  </si>
  <si>
    <t>Payback</t>
  </si>
  <si>
    <t>The Talented Mr. Ripley</t>
  </si>
  <si>
    <t>Ted 2</t>
  </si>
  <si>
    <t>School of Rock</t>
  </si>
  <si>
    <t>Police Academy</t>
  </si>
  <si>
    <t>Jumper</t>
  </si>
  <si>
    <t>21</t>
  </si>
  <si>
    <t>Snow Dogs</t>
  </si>
  <si>
    <t>While You Were Sleeping</t>
  </si>
  <si>
    <t>The Notebook</t>
  </si>
  <si>
    <t>Congo</t>
  </si>
  <si>
    <t>Jimmy Neutron: Boy Genius</t>
  </si>
  <si>
    <t>Alien</t>
  </si>
  <si>
    <t>Arthur</t>
  </si>
  <si>
    <t>Die Hard</t>
  </si>
  <si>
    <t>Eat Pray Love</t>
  </si>
  <si>
    <t>Maze Runner: The Scorch Trials</t>
  </si>
  <si>
    <t>Fiddler on the Roof</t>
  </si>
  <si>
    <t>The Texas Chainsaw Massacre</t>
  </si>
  <si>
    <t>Zookeeper</t>
  </si>
  <si>
    <t>AVP: Alien Vs. Predator</t>
  </si>
  <si>
    <t>What Happens in Vegas...</t>
  </si>
  <si>
    <t>The Dukes of Hazzard</t>
  </si>
  <si>
    <t>Saw III</t>
  </si>
  <si>
    <t>The Wedding Singer</t>
  </si>
  <si>
    <t>Nacho Libre</t>
  </si>
  <si>
    <t>Disturbia</t>
  </si>
  <si>
    <t>Jack Reacher</t>
  </si>
  <si>
    <t>Cloverfield</t>
  </si>
  <si>
    <t>Another 48 Hrs.</t>
  </si>
  <si>
    <t>Dear John</t>
  </si>
  <si>
    <t>The Ten Commandments</t>
  </si>
  <si>
    <t>Knowing</t>
  </si>
  <si>
    <t>War Horse</t>
  </si>
  <si>
    <t>Dark Shadows</t>
  </si>
  <si>
    <t>Earthquake</t>
  </si>
  <si>
    <t>Hannah Montana the Movie</t>
  </si>
  <si>
    <t>The Day the Earth Stood Still</t>
  </si>
  <si>
    <t>Limitless</t>
  </si>
  <si>
    <t>Out of Africa</t>
  </si>
  <si>
    <t>Cape Fear</t>
  </si>
  <si>
    <t>Fried Green Tomatoes</t>
  </si>
  <si>
    <t>Apocalypse Now</t>
  </si>
  <si>
    <t>Days of Thunder</t>
  </si>
  <si>
    <t>Pixels</t>
  </si>
  <si>
    <t>City of Angels</t>
  </si>
  <si>
    <t>The English Patient</t>
  </si>
  <si>
    <t>Star Trek II: The Wrath of Khan</t>
  </si>
  <si>
    <t>Artificial Intelligence: AI</t>
  </si>
  <si>
    <t>Cocktail</t>
  </si>
  <si>
    <t>Bram Stoker's Dracula</t>
  </si>
  <si>
    <t>We Were Soldiers</t>
  </si>
  <si>
    <t>Tower Heist</t>
  </si>
  <si>
    <t>The Monuments Men</t>
  </si>
  <si>
    <t>Man on Fire</t>
  </si>
  <si>
    <t>Backdraft</t>
  </si>
  <si>
    <t>Gangs of New York</t>
  </si>
  <si>
    <t>Free Willy</t>
  </si>
  <si>
    <t>The Adventures of Tintin</t>
  </si>
  <si>
    <t>Steel Magnolias</t>
  </si>
  <si>
    <t>The Golden Child</t>
  </si>
  <si>
    <t>La marche de l'empereur</t>
  </si>
  <si>
    <t>Parental Guidance</t>
  </si>
  <si>
    <t>Where the Wild Things Are</t>
  </si>
  <si>
    <t>The A-Team</t>
  </si>
  <si>
    <t>U-571</t>
  </si>
  <si>
    <t>The Terminal</t>
  </si>
  <si>
    <t>Moonstruck</t>
  </si>
  <si>
    <t>27 Dresses</t>
  </si>
  <si>
    <t>The Muppet Movie</t>
  </si>
  <si>
    <t>Father of the Bride Part II</t>
  </si>
  <si>
    <t>Philadelphia</t>
  </si>
  <si>
    <t>Rugrats in Paris</t>
  </si>
  <si>
    <t>Knight and Day</t>
  </si>
  <si>
    <t>Teenage Mutant Ninja Turtles II: The Secret of the Ooze</t>
  </si>
  <si>
    <t>Training Day</t>
  </si>
  <si>
    <t>White Men Can't Jump</t>
  </si>
  <si>
    <t>Paddington</t>
  </si>
  <si>
    <t>Conspiracy Theory</t>
  </si>
  <si>
    <t>The Ring Two</t>
  </si>
  <si>
    <t>48 Hrs.</t>
  </si>
  <si>
    <t>Cocoon</t>
  </si>
  <si>
    <t>Footloose</t>
  </si>
  <si>
    <t>The Haunted Mansion</t>
  </si>
  <si>
    <t>Hellboy II: The Golden Army</t>
  </si>
  <si>
    <t>Barbershop</t>
  </si>
  <si>
    <t>The Family Man</t>
  </si>
  <si>
    <t>The Untouchables</t>
  </si>
  <si>
    <t>Contagion</t>
  </si>
  <si>
    <t>You, Me and Dupree</t>
  </si>
  <si>
    <t>We Bought a Zoo</t>
  </si>
  <si>
    <t>2 Guns</t>
  </si>
  <si>
    <t>Moneyball</t>
  </si>
  <si>
    <t>The Rookie</t>
  </si>
  <si>
    <t>Zombieland</t>
  </si>
  <si>
    <t>Braveheart</t>
  </si>
  <si>
    <t>Any Given Sunday</t>
  </si>
  <si>
    <t>Star Trek: Generations</t>
  </si>
  <si>
    <t>Constantine</t>
  </si>
  <si>
    <t>The Horse Whisperer</t>
  </si>
  <si>
    <t>Garfield</t>
  </si>
  <si>
    <t>Ray</t>
  </si>
  <si>
    <t>Coraline</t>
  </si>
  <si>
    <t>Old School</t>
  </si>
  <si>
    <t>Romancing the Stone</t>
  </si>
  <si>
    <t>The Exorcism of Emily Rose</t>
  </si>
  <si>
    <t>Eragon</t>
  </si>
  <si>
    <t>Star Trek VI: The Undiscovered Country</t>
  </si>
  <si>
    <t>The Prince of Tides</t>
  </si>
  <si>
    <t>Poltergeist</t>
  </si>
  <si>
    <t>Ladder 49</t>
  </si>
  <si>
    <t>Four Brothers</t>
  </si>
  <si>
    <t>WarGames</t>
  </si>
  <si>
    <t>Six Days, Seven Nights</t>
  </si>
  <si>
    <t>No Country for Old Men</t>
  </si>
  <si>
    <t>Jack and Jill</t>
  </si>
  <si>
    <t>Sin City</t>
  </si>
  <si>
    <t>Along Came a Spider</t>
  </si>
  <si>
    <t>Goosebumps</t>
  </si>
  <si>
    <t>Hugo</t>
  </si>
  <si>
    <t>Christmas with the Kranks</t>
  </si>
  <si>
    <t>The Jerk</t>
  </si>
  <si>
    <t>Monster House</t>
  </si>
  <si>
    <t>Deep Blue Sea</t>
  </si>
  <si>
    <t>The Intern</t>
  </si>
  <si>
    <t>Law Abiding Citizen</t>
  </si>
  <si>
    <t>Beetle Juice</t>
  </si>
  <si>
    <t>Spirit: Stallion of the Cimarron</t>
  </si>
  <si>
    <t>Hollow Man</t>
  </si>
  <si>
    <t>White House Down</t>
  </si>
  <si>
    <t>John Carter</t>
  </si>
  <si>
    <t>Hotel for Dogs</t>
  </si>
  <si>
    <t>Dinner for Schmucks</t>
  </si>
  <si>
    <t>Justin Bieber: Never Say Never</t>
  </si>
  <si>
    <t>Ben-Hur</t>
  </si>
  <si>
    <t>Barnyard: The Original Party Animals</t>
  </si>
  <si>
    <t>Jackass: Number Two</t>
  </si>
  <si>
    <t>The Interpreter</t>
  </si>
  <si>
    <t>Dolphin Tale</t>
  </si>
  <si>
    <t>Vantage Point</t>
  </si>
  <si>
    <t>I Know What You Did Last Summer</t>
  </si>
  <si>
    <t>Michael Jackson's This Is It</t>
  </si>
  <si>
    <t>Fred Claus</t>
  </si>
  <si>
    <t>My Fair Lady</t>
  </si>
  <si>
    <t>1408</t>
  </si>
  <si>
    <t>The Last of the Mohicans</t>
  </si>
  <si>
    <t>Get Shorty</t>
  </si>
  <si>
    <t>Mama</t>
  </si>
  <si>
    <t>Ace Ventura: Pet Detective</t>
  </si>
  <si>
    <t>The Purge: Anarchy</t>
  </si>
  <si>
    <t>Sideways</t>
  </si>
  <si>
    <t>Bridget Jones's Diary</t>
  </si>
  <si>
    <t>Grumpier Old Men</t>
  </si>
  <si>
    <t>The Bridges of Madison County</t>
  </si>
  <si>
    <t>R.V.</t>
  </si>
  <si>
    <t>I Love You, Man</t>
  </si>
  <si>
    <t>Galaxy Quest</t>
  </si>
  <si>
    <t>Safe Haven</t>
  </si>
  <si>
    <t>Stargate</t>
  </si>
  <si>
    <t>3 Men and a Little Lady</t>
  </si>
  <si>
    <t>National Lampoon's Christmas Vacation</t>
  </si>
  <si>
    <t>Chocolat</t>
  </si>
  <si>
    <t>Scary Movie 2</t>
  </si>
  <si>
    <t>Star Trek III: The Search for Spock</t>
  </si>
  <si>
    <t>The Spiderwick Chronicles</t>
  </si>
  <si>
    <t>The Score</t>
  </si>
  <si>
    <t>Paul Blart: Mall Cop 2</t>
  </si>
  <si>
    <t>John Q</t>
  </si>
  <si>
    <t>The Smurfs 2</t>
  </si>
  <si>
    <t>Bird on a Wire</t>
  </si>
  <si>
    <t>The Naked Gun: From the Files of Police Squad!</t>
  </si>
  <si>
    <t>Shallow Hal</t>
  </si>
  <si>
    <t>Any Which Way You Can</t>
  </si>
  <si>
    <t>No Strings Attached</t>
  </si>
  <si>
    <t>Broken Arrow</t>
  </si>
  <si>
    <t>The Best Man Holiday</t>
  </si>
  <si>
    <t>V for Vendetta</t>
  </si>
  <si>
    <t>Mortal Kombat</t>
  </si>
  <si>
    <t>JFK</t>
  </si>
  <si>
    <t>Shaft</t>
  </si>
  <si>
    <t>Moonraker</t>
  </si>
  <si>
    <t>World Trade Center</t>
  </si>
  <si>
    <t>Rocky Balboa</t>
  </si>
  <si>
    <t>Fool's Gold</t>
  </si>
  <si>
    <t>Star Trek: Insurrection</t>
  </si>
  <si>
    <t>Grumpy Old Men</t>
  </si>
  <si>
    <t>Big Momma's House 2</t>
  </si>
  <si>
    <t>Turner &amp; Hooch</t>
  </si>
  <si>
    <t>The Golden Compass</t>
  </si>
  <si>
    <t>Kill Bill: Volume 1</t>
  </si>
  <si>
    <t>Act of Valor</t>
  </si>
  <si>
    <t>Blade</t>
  </si>
  <si>
    <t>Seven Pounds</t>
  </si>
  <si>
    <t>Private Benjamin</t>
  </si>
  <si>
    <t>Swordfish</t>
  </si>
  <si>
    <t>The Best Little Whorehouse in Texas</t>
  </si>
  <si>
    <t>Max</t>
  </si>
  <si>
    <t>Min</t>
  </si>
  <si>
    <t>All Movies</t>
  </si>
  <si>
    <t>Avg</t>
  </si>
  <si>
    <t>Best Picture Winner</t>
  </si>
  <si>
    <t>Y</t>
  </si>
  <si>
    <t>ANSWER SHEET</t>
  </si>
  <si>
    <t xml:space="preserve">1.  How many sequels are contained in the Movie Data file?  </t>
  </si>
  <si>
    <t xml:space="preserve">2. What was the total of all Production Budgets for all films produced in 2001?  </t>
  </si>
  <si>
    <t>Hints</t>
  </si>
  <si>
    <t>=SUMIF(year range, year criteria, sum range)</t>
  </si>
  <si>
    <t>=COUNTIF(data range, criteria)</t>
  </si>
  <si>
    <t>=MAXIFS(MAX range, criteria range, criteria)</t>
  </si>
  <si>
    <t xml:space="preserve">3. What was the highest International box office Revenue for a film that also won Best Picture?  </t>
  </si>
  <si>
    <t>https://support.microsoft.com/en-au/office/maxifs-function-dfd611e6-da2c-488a-919b-9b6376b28883</t>
  </si>
  <si>
    <t>Analytics Question</t>
  </si>
  <si>
    <t>Answer (write an Excel Formula in the space below that will display the correct value)</t>
  </si>
  <si>
    <t>Actor ID</t>
  </si>
  <si>
    <t>Actor Name</t>
  </si>
  <si>
    <t>Unidentified</t>
  </si>
  <si>
    <t>Adam Sandler</t>
  </si>
  <si>
    <t>Adewale Akinnuoye-Agbaje</t>
  </si>
  <si>
    <t>Adolph Caesar</t>
  </si>
  <si>
    <t>Adrian Lester</t>
  </si>
  <si>
    <t>Adrienne Barbeau</t>
  </si>
  <si>
    <t>Al Matthews</t>
  </si>
  <si>
    <t>Alan Cumming</t>
  </si>
  <si>
    <t>Alan Tudyk</t>
  </si>
  <si>
    <t>Alex Hyde-White</t>
  </si>
  <si>
    <t>Alexa Davalos</t>
  </si>
  <si>
    <t>Allen Garfield</t>
  </si>
  <si>
    <t>Amanda Farinos</t>
  </si>
  <si>
    <t>Amber Valletta</t>
  </si>
  <si>
    <t>Amy Adams</t>
  </si>
  <si>
    <t>Amy Sedaris</t>
  </si>
  <si>
    <t>Andrew Bryniarski</t>
  </si>
  <si>
    <t>Andrew Garfield</t>
  </si>
  <si>
    <t>Andrew Secombe</t>
  </si>
  <si>
    <t>Andrew Stanton</t>
  </si>
  <si>
    <t>Andy Serkis</t>
  </si>
  <si>
    <t>Angela Bassett</t>
  </si>
  <si>
    <t>Angelina Jolie</t>
  </si>
  <si>
    <t>Anika Noni Rose</t>
  </si>
  <si>
    <t>Anita Briem</t>
  </si>
  <si>
    <t>Anna Faris</t>
  </si>
  <si>
    <t>Anna Kendrick</t>
  </si>
  <si>
    <t>Anna Maria Horsford</t>
  </si>
  <si>
    <t>Annabelle Wallis</t>
  </si>
  <si>
    <t>Anne Hathaway</t>
  </si>
  <si>
    <t>Annie Corley</t>
  </si>
  <si>
    <t>Anthony Azizi</t>
  </si>
  <si>
    <t>Anthony Hopkins</t>
  </si>
  <si>
    <t>Antonio Banderas</t>
  </si>
  <si>
    <t>Armin Mueller-Stahl</t>
  </si>
  <si>
    <t>Arnold Schwarzenegger</t>
  </si>
  <si>
    <t>Audrey Hepburn</t>
  </si>
  <si>
    <t>Balthazar Getty</t>
  </si>
  <si>
    <t>Barbra Streisand</t>
  </si>
  <si>
    <t>Barry Bostwick</t>
  </si>
  <si>
    <t>Barry Sonnenfeld</t>
  </si>
  <si>
    <t>Bebe Neuwirth</t>
  </si>
  <si>
    <t>Ben Affleck</t>
  </si>
  <si>
    <t>Ben Kingsley</t>
  </si>
  <si>
    <t>Ben Stiller</t>
  </si>
  <si>
    <t>Benedict Cumberbatch</t>
  </si>
  <si>
    <t>Benjamin Whitrow</t>
  </si>
  <si>
    <t>Bernard Lee</t>
  </si>
  <si>
    <t>Beth Grant</t>
  </si>
  <si>
    <t>Beyonce Knowles</t>
  </si>
  <si>
    <t>Bill Campbell</t>
  </si>
  <si>
    <t>Bill Fagerbakke</t>
  </si>
  <si>
    <t>Bill Farmer</t>
  </si>
  <si>
    <t>Bill Hader</t>
  </si>
  <si>
    <t>Bill McKinney</t>
  </si>
  <si>
    <t>Bill Murray</t>
  </si>
  <si>
    <t>Bill Paxton</t>
  </si>
  <si>
    <t>Billy Crystal</t>
  </si>
  <si>
    <t>Billy West</t>
  </si>
  <si>
    <t>Bob Hoskins</t>
  </si>
  <si>
    <t>Bob Stephenson</t>
  </si>
  <si>
    <t>Brad Garrett</t>
  </si>
  <si>
    <t>Brad Pitt</t>
  </si>
  <si>
    <t>Bradley Cooper</t>
  </si>
  <si>
    <t>Bradley Pierce</t>
  </si>
  <si>
    <t>Brandon Routh</t>
  </si>
  <si>
    <t>Brandon T. Jackson</t>
  </si>
  <si>
    <t>Branscombe Richmond</t>
  </si>
  <si>
    <t>Breckin Meyer</t>
  </si>
  <si>
    <t>Brendan Fraser</t>
  </si>
  <si>
    <t>Brent Spiner</t>
  </si>
  <si>
    <t>Brian Kerwin</t>
  </si>
  <si>
    <t>Bridgette Wilson</t>
  </si>
  <si>
    <t>Bruce Willis</t>
  </si>
  <si>
    <t>Buck Henry</t>
  </si>
  <si>
    <t>Byung-hun Lee</t>
  </si>
  <si>
    <t>Cameron Diaz</t>
  </si>
  <si>
    <t>Carl Ciarfalio</t>
  </si>
  <si>
    <t>Carlos Jacott</t>
  </si>
  <si>
    <t>Caroline Goodall</t>
  </si>
  <si>
    <t>Caroline Rhea</t>
  </si>
  <si>
    <t>Casey Siemaszko</t>
  </si>
  <si>
    <t>Catherin O'Hara</t>
  </si>
  <si>
    <t>CCH Pounder</t>
  </si>
  <si>
    <t>Cedric the Entertainer</t>
  </si>
  <si>
    <t>Chang Tseng</t>
  </si>
  <si>
    <t>Channing Tatum</t>
  </si>
  <si>
    <t>Charles Durning</t>
  </si>
  <si>
    <t>Charlton Heston</t>
  </si>
  <si>
    <t>Chita Rivera</t>
  </si>
  <si>
    <t>Chris Cooper</t>
  </si>
  <si>
    <t>Chris Evans</t>
  </si>
  <si>
    <t>Chris Pine</t>
  </si>
  <si>
    <t>Chris Potter</t>
  </si>
  <si>
    <t>Chris Pratt</t>
  </si>
  <si>
    <t>Chris Rankin</t>
  </si>
  <si>
    <t>Chris Weitz</t>
  </si>
  <si>
    <t>Christian Bale</t>
  </si>
  <si>
    <t>Christina Applegate</t>
  </si>
  <si>
    <t>Christopher Lloyd</t>
  </si>
  <si>
    <t>Christopher McDonald</t>
  </si>
  <si>
    <t>Christopher Plummer</t>
  </si>
  <si>
    <t>Chua Kah Joo</t>
  </si>
  <si>
    <t>Cillian Murphy</t>
  </si>
  <si>
    <t>Clark Gable</t>
  </si>
  <si>
    <t>Claudia Kim</t>
  </si>
  <si>
    <t>Cliff Curtis</t>
  </si>
  <si>
    <t>Clint Eastwood</t>
  </si>
  <si>
    <t>Colin Baiocchhi</t>
  </si>
  <si>
    <t>Colin Firth</t>
  </si>
  <si>
    <t>Craig T. Nelson</t>
  </si>
  <si>
    <t>Cree Summer</t>
  </si>
  <si>
    <t>Cuba Gooding, Jr.</t>
  </si>
  <si>
    <t>D.G. Maloney</t>
  </si>
  <si>
    <t>Dakota Fanning</t>
  </si>
  <si>
    <t>Dakota Johnson</t>
  </si>
  <si>
    <t>Dale Dye</t>
  </si>
  <si>
    <t>Damon Wayans Jr.</t>
  </si>
  <si>
    <t>Dan Aykroyd</t>
  </si>
  <si>
    <t>Dan Castellaneta</t>
  </si>
  <si>
    <t>Dan Fogler</t>
  </si>
  <si>
    <t>Dan Lauria</t>
  </si>
  <si>
    <t>Daniel Craig</t>
  </si>
  <si>
    <t>Daniel Day-Lewis</t>
  </si>
  <si>
    <t>Dann Florek</t>
  </si>
  <si>
    <t>Danny De Vito</t>
  </si>
  <si>
    <t>Danny Glover</t>
  </si>
  <si>
    <t>Daryl Sabara</t>
  </si>
  <si>
    <t>Dave England</t>
  </si>
  <si>
    <t>Daveigh Chase</t>
  </si>
  <si>
    <t>Davenia McFadden</t>
  </si>
  <si>
    <t>David Arquette</t>
  </si>
  <si>
    <t>David Cross</t>
  </si>
  <si>
    <t>David Duchovny</t>
  </si>
  <si>
    <t>David Patrick O'Hara</t>
  </si>
  <si>
    <t>David Schofield</t>
  </si>
  <si>
    <t>David Warner</t>
  </si>
  <si>
    <t>Debi Derryberry</t>
  </si>
  <si>
    <t>Debra Jo Rupp</t>
  </si>
  <si>
    <t>Demi Moore</t>
  </si>
  <si>
    <t>Dennis Quaid</t>
  </si>
  <si>
    <t>Denzel Washington</t>
  </si>
  <si>
    <t>Derek de Lint</t>
  </si>
  <si>
    <t>Derek Jacobi</t>
  </si>
  <si>
    <t>Devon Murray</t>
  </si>
  <si>
    <t>Diane Ladd</t>
  </si>
  <si>
    <t>Diane Lane</t>
  </si>
  <si>
    <t>Dick Miller</t>
  </si>
  <si>
    <t>Diego Klattenhoff</t>
  </si>
  <si>
    <t>Dileep Rao</t>
  </si>
  <si>
    <t>Dolly Parton</t>
  </si>
  <si>
    <t>Dominic Scott Kay</t>
  </si>
  <si>
    <t>Don S. Davis</t>
  </si>
  <si>
    <t>Donald Sutherland</t>
  </si>
  <si>
    <t>Drew Barrymore</t>
  </si>
  <si>
    <t>Dustin Hoffman</t>
  </si>
  <si>
    <t>Dustin Ingram</t>
  </si>
  <si>
    <t>Dwayne Johnson</t>
  </si>
  <si>
    <t>Dylan O'Brien</t>
  </si>
  <si>
    <t>Dylan Walsh</t>
  </si>
  <si>
    <t>Eddie Murphy</t>
  </si>
  <si>
    <t>Eli Russell Linnetz</t>
  </si>
  <si>
    <t>Elias Koteas</t>
  </si>
  <si>
    <t>Elijah Wood</t>
  </si>
  <si>
    <t>Elizabeth Olsen</t>
  </si>
  <si>
    <t>Elle Fanning</t>
  </si>
  <si>
    <t>Ellen Bry</t>
  </si>
  <si>
    <t>Emily Blunt</t>
  </si>
  <si>
    <t>Emma Stone</t>
  </si>
  <si>
    <t>Emma Thompson</t>
  </si>
  <si>
    <t>Eric Darnell</t>
  </si>
  <si>
    <t>Eric Winzenried</t>
  </si>
  <si>
    <t>Erinn Bartlett</t>
  </si>
  <si>
    <t>Evangeline Lilly</t>
  </si>
  <si>
    <t>Ewan McGregor</t>
  </si>
  <si>
    <t>Ewen Bremner</t>
  </si>
  <si>
    <t>F. Valentino Morales</t>
  </si>
  <si>
    <t>Fiona Shaw</t>
  </si>
  <si>
    <t>Ford Keirnan</t>
  </si>
  <si>
    <t>Forest Whitaker</t>
  </si>
  <si>
    <t>Frances Conroy</t>
  </si>
  <si>
    <t>Francis X. McCarthy</t>
  </si>
  <si>
    <t>Frank Grillo</t>
  </si>
  <si>
    <t>Frank Welker</t>
  </si>
  <si>
    <t>Fred Dalton Thompson</t>
  </si>
  <si>
    <t>Fred Stoller</t>
  </si>
  <si>
    <t>Fred Willard</t>
  </si>
  <si>
    <t>Freddie Highmore</t>
  </si>
  <si>
    <t>Freddie Prinze, Jr.</t>
  </si>
  <si>
    <t>Gabriel Jarret</t>
  </si>
  <si>
    <t>Gabriel Mann</t>
  </si>
  <si>
    <t>Garrett Hedlund</t>
  </si>
  <si>
    <t>Gary Lewis</t>
  </si>
  <si>
    <t>Gemma Jones</t>
  </si>
  <si>
    <t>Gene Hackman</t>
  </si>
  <si>
    <t>George Clooney</t>
  </si>
  <si>
    <t>George Dzundza</t>
  </si>
  <si>
    <t>George Lopez</t>
  </si>
  <si>
    <t>George Sanders</t>
  </si>
  <si>
    <t>Gerard Butler</t>
  </si>
  <si>
    <t>Goldie Hawn</t>
  </si>
  <si>
    <t>Grace Zabriskie</t>
  </si>
  <si>
    <t>Graham Phillips</t>
  </si>
  <si>
    <t>Greg Ellis</t>
  </si>
  <si>
    <t>Greg Kinnear</t>
  </si>
  <si>
    <t>Gwyneth Paltrow</t>
  </si>
  <si>
    <t>Hank Azaria</t>
  </si>
  <si>
    <t>Hank Brandt</t>
  </si>
  <si>
    <t>Harrison Ford</t>
  </si>
  <si>
    <t>Harry Connick, Jr.</t>
  </si>
  <si>
    <t>Harvey Keitel</t>
  </si>
  <si>
    <t>Harvey Korman</t>
  </si>
  <si>
    <t>Hayden Panettiere</t>
  </si>
  <si>
    <t>Hector Elizondo</t>
  </si>
  <si>
    <t>Henry Cavill</t>
  </si>
  <si>
    <t>Henry Czerny</t>
  </si>
  <si>
    <t>Hilary Swank</t>
  </si>
  <si>
    <t>Hugh Bonneville</t>
  </si>
  <si>
    <t>Hugh Jackman</t>
  </si>
  <si>
    <t>Hugo Weaving</t>
  </si>
  <si>
    <t>Ice Cube</t>
  </si>
  <si>
    <t>Irfan Khan</t>
  </si>
  <si>
    <t>Irma P. Hall</t>
  </si>
  <si>
    <t>Isla Fisher</t>
  </si>
  <si>
    <t>Ivana Milicevic</t>
  </si>
  <si>
    <t>J.J. Hardy</t>
  </si>
  <si>
    <t>J.K. Simmons</t>
  </si>
  <si>
    <t>Jack Black</t>
  </si>
  <si>
    <t>Jack McBrayer</t>
  </si>
  <si>
    <t>Jack McGee</t>
  </si>
  <si>
    <t>Jack Nicholson</t>
  </si>
  <si>
    <t>Jack O'Connell</t>
  </si>
  <si>
    <t>Jack Thibeau</t>
  </si>
  <si>
    <t>Jackie Chan</t>
  </si>
  <si>
    <t>Jada Pinkett Smith</t>
  </si>
  <si>
    <t>Jae Head</t>
  </si>
  <si>
    <t>Jamal Duff</t>
  </si>
  <si>
    <t>James Caviezel</t>
  </si>
  <si>
    <t>James Cromwell</t>
  </si>
  <si>
    <t>James Fitzpatrick</t>
  </si>
  <si>
    <t>James Fox</t>
  </si>
  <si>
    <t>James Franco</t>
  </si>
  <si>
    <t>James Gammon</t>
  </si>
  <si>
    <t>James Marsden</t>
  </si>
  <si>
    <t>James Marshall</t>
  </si>
  <si>
    <t>James McAvoy</t>
  </si>
  <si>
    <t>James Spader</t>
  </si>
  <si>
    <t>James Tolkan</t>
  </si>
  <si>
    <t>Jamie Chung</t>
  </si>
  <si>
    <t>Jamie Foxx</t>
  </si>
  <si>
    <t>Jane Fonda</t>
  </si>
  <si>
    <t>Jane Lynch</t>
  </si>
  <si>
    <t>Jason Babinsky</t>
  </si>
  <si>
    <t>Jason Bateman</t>
  </si>
  <si>
    <t>Jason James Richter</t>
  </si>
  <si>
    <t>Jason Lee</t>
  </si>
  <si>
    <t>Jason Segel</t>
  </si>
  <si>
    <t>Javier Bardem</t>
  </si>
  <si>
    <t>Jay Baruchel</t>
  </si>
  <si>
    <t>Jay Laga'aia</t>
  </si>
  <si>
    <t>Jay Leno</t>
  </si>
  <si>
    <t>Jeff Bridges</t>
  </si>
  <si>
    <t>Jeff Goldblum</t>
  </si>
  <si>
    <t>Jemma McKenzie-Brown</t>
  </si>
  <si>
    <t>Jenifer Lewis</t>
  </si>
  <si>
    <t>Jennifer Beals</t>
  </si>
  <si>
    <t>Jennifer Lawrence</t>
  </si>
  <si>
    <t>Jennifer Lopez</t>
  </si>
  <si>
    <t>Jennifer Saunders</t>
  </si>
  <si>
    <t>Jeremy Bulloch</t>
  </si>
  <si>
    <t>Jeremy Irvine</t>
  </si>
  <si>
    <t>Jeremy Renner</t>
  </si>
  <si>
    <t>Jessalyn Gilsig</t>
  </si>
  <si>
    <t>Jesse Eisenberg</t>
  </si>
  <si>
    <t>Jessica Biel</t>
  </si>
  <si>
    <t>Jessica Chastain</t>
  </si>
  <si>
    <t>Jill Eikenberry</t>
  </si>
  <si>
    <t>Jim Carrey</t>
  </si>
  <si>
    <t>Jim Parsons</t>
  </si>
  <si>
    <t>Joan Severance</t>
  </si>
  <si>
    <t>Joaquin Phoenix</t>
  </si>
  <si>
    <t>JoBeth Williams</t>
  </si>
  <si>
    <t>Jodie Foster</t>
  </si>
  <si>
    <t>Joe Alaskey</t>
  </si>
  <si>
    <t>Joel Moore</t>
  </si>
  <si>
    <t>Joey Slotnick</t>
  </si>
  <si>
    <t>John C. Reilly</t>
  </si>
  <si>
    <t>John Corbett</t>
  </si>
  <si>
    <t>John Travolta</t>
  </si>
  <si>
    <t>John Wood</t>
  </si>
  <si>
    <t>Johnny Depp</t>
  </si>
  <si>
    <t>Johnny Knoxville</t>
  </si>
  <si>
    <t>Jon Voight</t>
  </si>
  <si>
    <t>Jonah Hill</t>
  </si>
  <si>
    <t>Jordan Ross</t>
  </si>
  <si>
    <t>Jordy Ranft</t>
  </si>
  <si>
    <t>Jose Maria Yazpik</t>
  </si>
  <si>
    <t>Joseph Fiennes</t>
  </si>
  <si>
    <t>Josh Duhamel</t>
  </si>
  <si>
    <t>Josh Herdman</t>
  </si>
  <si>
    <t>Judie Aronson</t>
  </si>
  <si>
    <t>Judy Davis</t>
  </si>
  <si>
    <t>Julia Roberts</t>
  </si>
  <si>
    <t>Julia Stiles</t>
  </si>
  <si>
    <t>Julie Andrews</t>
  </si>
  <si>
    <t>Julie Araskog</t>
  </si>
  <si>
    <t>Julie Dreyfus</t>
  </si>
  <si>
    <t>Jurgen Prochnow</t>
  </si>
  <si>
    <t>Justin Bieber</t>
  </si>
  <si>
    <t>Kareem Abdul-Jabbar</t>
  </si>
  <si>
    <t>Karen Allen</t>
  </si>
  <si>
    <t>Kate Butler</t>
  </si>
  <si>
    <t>Kate Mara</t>
  </si>
  <si>
    <t>Kath Soucie</t>
  </si>
  <si>
    <t>Katherine Heigl</t>
  </si>
  <si>
    <t>Katie Featherston</t>
  </si>
  <si>
    <t>Katie Holmes</t>
  </si>
  <si>
    <t>Keanu Reeves</t>
  </si>
  <si>
    <t>Keith Gordon</t>
  </si>
  <si>
    <t>Kelly Hawthorne</t>
  </si>
  <si>
    <t>Ken Baldwin</t>
  </si>
  <si>
    <t>Ken Davitian</t>
  </si>
  <si>
    <t>Kenneth Mars</t>
  </si>
  <si>
    <t>Kevin Bacon</t>
  </si>
  <si>
    <t>Kevin Corrigan</t>
  </si>
  <si>
    <t>Kevin Costner</t>
  </si>
  <si>
    <t>Kevin Hart</t>
  </si>
  <si>
    <t>Kevin James</t>
  </si>
  <si>
    <t>Kim Cattrall</t>
  </si>
  <si>
    <t>Kimberly Scott</t>
  </si>
  <si>
    <t>Kiran Shah</t>
  </si>
  <si>
    <t>Kirstie Alley</t>
  </si>
  <si>
    <t>Kris Kristofferson</t>
  </si>
  <si>
    <t>Kristen Bell</t>
  </si>
  <si>
    <t>Kristen Stewart</t>
  </si>
  <si>
    <t>Kristen Wiig</t>
  </si>
  <si>
    <t>Kyle Chandler</t>
  </si>
  <si>
    <t>Lake Bell</t>
  </si>
  <si>
    <t>Larry Bryggman</t>
  </si>
  <si>
    <t>Larry King</t>
  </si>
  <si>
    <t>Lawrence Pressman</t>
  </si>
  <si>
    <t>Laz Alonso</t>
  </si>
  <si>
    <t>Lee J. Cobb</t>
  </si>
  <si>
    <t>Lee Wallace</t>
  </si>
  <si>
    <t>Leighton Meester</t>
  </si>
  <si>
    <t>Len Cariou</t>
  </si>
  <si>
    <t>Lennie Loftin</t>
  </si>
  <si>
    <t>Leonardo DiCaprio</t>
  </si>
  <si>
    <t>Leslie Nielsen</t>
  </si>
  <si>
    <t>Lewis Black</t>
  </si>
  <si>
    <t>Li Li</t>
  </si>
  <si>
    <t>Liam Neeson</t>
  </si>
  <si>
    <t>Liev Schreiber</t>
  </si>
  <si>
    <t>Lilo Brancato</t>
  </si>
  <si>
    <t>Linda Kozlowski</t>
  </si>
  <si>
    <t>Lindsay Lohan</t>
  </si>
  <si>
    <t>Lisa Banes</t>
  </si>
  <si>
    <t>Lori Singer</t>
  </si>
  <si>
    <t>Lou Romano</t>
  </si>
  <si>
    <t>Luke Wilson</t>
  </si>
  <si>
    <t>M.C. Gainey</t>
  </si>
  <si>
    <t>Madisen Beaty</t>
  </si>
  <si>
    <t>Madonna</t>
  </si>
  <si>
    <t>Mampho Brescia</t>
  </si>
  <si>
    <t>Mandy Moore</t>
  </si>
  <si>
    <t>Marc McClure</t>
  </si>
  <si>
    <t>Marco Khan</t>
  </si>
  <si>
    <t>Marion Ross</t>
  </si>
  <si>
    <t>Mark Ettlinger</t>
  </si>
  <si>
    <t>Mark Fredrichs</t>
  </si>
  <si>
    <t>Mark Hamill</t>
  </si>
  <si>
    <t>Mark Wahlberg</t>
  </si>
  <si>
    <t>Marlon Brando</t>
  </si>
  <si>
    <t>Martin Freeman</t>
  </si>
  <si>
    <t>Martin Klebba</t>
  </si>
  <si>
    <t>Martin Lawrence</t>
  </si>
  <si>
    <t>Mary Elizabeth Mastrantonio</t>
  </si>
  <si>
    <t>Matt Clark</t>
  </si>
  <si>
    <t>Matt Craven</t>
  </si>
  <si>
    <t>Matt Damon</t>
  </si>
  <si>
    <t>Matt Dillon</t>
  </si>
  <si>
    <t>Matt Frewer</t>
  </si>
  <si>
    <t>Matt McCoy</t>
  </si>
  <si>
    <t>Matthew Broderick</t>
  </si>
  <si>
    <t>Matthew Fox</t>
  </si>
  <si>
    <t>Matthew Goode</t>
  </si>
  <si>
    <t>Matthew Lillard</t>
  </si>
  <si>
    <t>Matthew McConaughey</t>
  </si>
  <si>
    <t>Max Perlich</t>
  </si>
  <si>
    <t>Maya Rudolph</t>
  </si>
  <si>
    <t>Megan Fox</t>
  </si>
  <si>
    <t>Mel Gibson</t>
  </si>
  <si>
    <t>Melinda Dillon</t>
  </si>
  <si>
    <t>Melissa McCarthy</t>
  </si>
  <si>
    <t>Meryl Streep</t>
  </si>
  <si>
    <t>Michael Berresse</t>
  </si>
  <si>
    <t>Michael C. Maronna</t>
  </si>
  <si>
    <t>Michael Caine</t>
  </si>
  <si>
    <t>Michael Champion</t>
  </si>
  <si>
    <t>Michael Douglas</t>
  </si>
  <si>
    <t>Michael Durrell</t>
  </si>
  <si>
    <t>Michael Ealy</t>
  </si>
  <si>
    <t>Michael Gambon</t>
  </si>
  <si>
    <t>Michael Irby</t>
  </si>
  <si>
    <t>Michael J. Fox</t>
  </si>
  <si>
    <t>Michael Jackson</t>
  </si>
  <si>
    <t>Michael Papajohn</t>
  </si>
  <si>
    <t>Michael Shannon</t>
  </si>
  <si>
    <t>Michael Spears</t>
  </si>
  <si>
    <t>Michelle Rodriguez</t>
  </si>
  <si>
    <t>Mickie McGowan</t>
  </si>
  <si>
    <t>Miguel Sandoval</t>
  </si>
  <si>
    <t>Mike Myers</t>
  </si>
  <si>
    <t>Mike Nussbaum</t>
  </si>
  <si>
    <t>Mike Starr</t>
  </si>
  <si>
    <t>Mike Tyson</t>
  </si>
  <si>
    <t>Ming-Na</t>
  </si>
  <si>
    <t>Miriam Margolyes</t>
  </si>
  <si>
    <t>Mitch Pileggi</t>
  </si>
  <si>
    <t>Mitchel Musso</t>
  </si>
  <si>
    <t>Moon Bloodgood</t>
  </si>
  <si>
    <t>Morgan Freeman</t>
  </si>
  <si>
    <t>Morris Chestnut</t>
  </si>
  <si>
    <t>Mr. Rogers</t>
  </si>
  <si>
    <t>Mykelti Williamson</t>
  </si>
  <si>
    <t>Naomi Watts</t>
  </si>
  <si>
    <t>Natalie Portman</t>
  </si>
  <si>
    <t>Naveen Andrews</t>
  </si>
  <si>
    <t>Neil Patrick Harris</t>
  </si>
  <si>
    <t>Nick Searcy</t>
  </si>
  <si>
    <t>Nicky Katt</t>
  </si>
  <si>
    <t>Nicolas Cage</t>
  </si>
  <si>
    <t>Nicole Beharie</t>
  </si>
  <si>
    <t>Nicole Kidman</t>
  </si>
  <si>
    <t>Noah Schnapp</t>
  </si>
  <si>
    <t>Nonso Anozie</t>
  </si>
  <si>
    <t>Noomi Rapace</t>
  </si>
  <si>
    <t>Nora Dunn</t>
  </si>
  <si>
    <t>Odette Yustman</t>
  </si>
  <si>
    <t>Olivia Wilde</t>
  </si>
  <si>
    <t>O'Shea Jackson, Jr.</t>
  </si>
  <si>
    <t>Ousaun Elam</t>
  </si>
  <si>
    <t>Owen Wilson</t>
  </si>
  <si>
    <t>Patricia Decou</t>
  </si>
  <si>
    <t>Patrick Stewart</t>
  </si>
  <si>
    <t>Patrick Wilson</t>
  </si>
  <si>
    <t>Patti D'Arbanville</t>
  </si>
  <si>
    <t>Patti LuPone</t>
  </si>
  <si>
    <t>Patton Oswalt</t>
  </si>
  <si>
    <t>Paul Le Mat</t>
  </si>
  <si>
    <t>Paul Mazursky</t>
  </si>
  <si>
    <t>Paul Michael Glaser</t>
  </si>
  <si>
    <t>Paul Newman</t>
  </si>
  <si>
    <t>Paul Rudd</t>
  </si>
  <si>
    <t>Pedja Bjelac</t>
  </si>
  <si>
    <t>Peter Appel</t>
  </si>
  <si>
    <t>Peter Dante</t>
  </si>
  <si>
    <t>Peter Dinklage</t>
  </si>
  <si>
    <t>Peter Gallagher</t>
  </si>
  <si>
    <t>Peter Mensah</t>
  </si>
  <si>
    <t>Peter Michael Goetz</t>
  </si>
  <si>
    <t>Peter Weireter</t>
  </si>
  <si>
    <t>Phil Proctor</t>
  </si>
  <si>
    <t>Philip Bosco</t>
  </si>
  <si>
    <t>Philip Seymour Hoffman</t>
  </si>
  <si>
    <t>Pierce Brosnan</t>
  </si>
  <si>
    <t>Quvenzhané Wallis</t>
  </si>
  <si>
    <t>Rachel McAdams</t>
  </si>
  <si>
    <t>Raini Rodriguez</t>
  </si>
  <si>
    <t>Ralph Fiennes</t>
  </si>
  <si>
    <t>Ralph Macchio</t>
  </si>
  <si>
    <t>Randall 'Tex' Cobb</t>
  </si>
  <si>
    <t>Ray Romano</t>
  </si>
  <si>
    <t>Ray Stevenson</t>
  </si>
  <si>
    <t>Reese Witherspoon</t>
  </si>
  <si>
    <t>Richard Covey</t>
  </si>
  <si>
    <t>Richard Dreyfuss</t>
  </si>
  <si>
    <t>Richard Gere</t>
  </si>
  <si>
    <t>Richard Roundtree</t>
  </si>
  <si>
    <t>Ricki Lake</t>
  </si>
  <si>
    <t>Rip Taylor</t>
  </si>
  <si>
    <t>Rob Corddry</t>
  </si>
  <si>
    <t>Rob Reiner</t>
  </si>
  <si>
    <t>Rob Schneider</t>
  </si>
  <si>
    <t>Robert Bailey, Jr.</t>
  </si>
  <si>
    <t>Robert Chambers</t>
  </si>
  <si>
    <t>Robert Costanzo</t>
  </si>
  <si>
    <t>Robert Davi</t>
  </si>
  <si>
    <t>Robert De Niro</t>
  </si>
  <si>
    <t>Robert Downey, Jr.</t>
  </si>
  <si>
    <t>Robert E. Torres</t>
  </si>
  <si>
    <t>Robert Sean Leonard</t>
  </si>
  <si>
    <t>Roberto Sanz</t>
  </si>
  <si>
    <t>Robin Bartlett</t>
  </si>
  <si>
    <t>Robin Mullins</t>
  </si>
  <si>
    <t>Robin Williams</t>
  </si>
  <si>
    <t>Robinne Lee</t>
  </si>
  <si>
    <t>Rod Taylor</t>
  </si>
  <si>
    <t>Roger Clinton</t>
  </si>
  <si>
    <t>Rolf Saxon</t>
  </si>
  <si>
    <t>Ron Howard</t>
  </si>
  <si>
    <t>Ron Livingston</t>
  </si>
  <si>
    <t>Roselyn Sanchez</t>
  </si>
  <si>
    <t>Rosie O'Donnell</t>
  </si>
  <si>
    <t>Rowan Atkinson</t>
  </si>
  <si>
    <t>Rowena King</t>
  </si>
  <si>
    <t>Rudy Giuliani</t>
  </si>
  <si>
    <t>Russell Crowe</t>
  </si>
  <si>
    <t>Ruth Gordon</t>
  </si>
  <si>
    <t>Ryan Gosling</t>
  </si>
  <si>
    <t>Ryan Reynolds</t>
  </si>
  <si>
    <t>Sacha Baron Cohen</t>
  </si>
  <si>
    <t>Sally Field</t>
  </si>
  <si>
    <t>Sally Kirkland</t>
  </si>
  <si>
    <t>Sam Jaffe</t>
  </si>
  <si>
    <t>Sam Worthington</t>
  </si>
  <si>
    <t>SaMi Chester</t>
  </si>
  <si>
    <t>Samuel L. Jackson</t>
  </si>
  <si>
    <t>Sandra Bullock</t>
  </si>
  <si>
    <t>Sara Stewart</t>
  </si>
  <si>
    <t>Sarah Jessica Parker</t>
  </si>
  <si>
    <t>Sarah Michelle Gellar</t>
  </si>
  <si>
    <t>Scarlett Johansson</t>
  </si>
  <si>
    <t>Scott Adsit</t>
  </si>
  <si>
    <t>Scott Glenn</t>
  </si>
  <si>
    <t>Scott Porter</t>
  </si>
  <si>
    <t>Sean Penn</t>
  </si>
  <si>
    <t>Seth MacFarlane</t>
  </si>
  <si>
    <t>Seth Rogen</t>
  </si>
  <si>
    <t>Shailene Woodley</t>
  </si>
  <si>
    <t>Shannon Elizabeth</t>
  </si>
  <si>
    <t>Sharon Leal</t>
  </si>
  <si>
    <t>Sharon Stone</t>
  </si>
  <si>
    <t>Shawn Ashmore</t>
  </si>
  <si>
    <t>Shawn Levy</t>
  </si>
  <si>
    <t>Shawnee Smith</t>
  </si>
  <si>
    <t>Shea Whigham</t>
  </si>
  <si>
    <t>Shia LaBeouf</t>
  </si>
  <si>
    <t>Shun Sugata</t>
  </si>
  <si>
    <t>Sonia Jackson</t>
  </si>
  <si>
    <t>Sonje Fortag</t>
  </si>
  <si>
    <t>Sophia Loren</t>
  </si>
  <si>
    <t>Spencer Garrett</t>
  </si>
  <si>
    <t>Stacy Keach</t>
  </si>
  <si>
    <t>Stan Lee</t>
  </si>
  <si>
    <t>Stephanie Simon</t>
  </si>
  <si>
    <t>Stephen Root</t>
  </si>
  <si>
    <t>Steve Carell</t>
  </si>
  <si>
    <t>Steve Guttenberg</t>
  </si>
  <si>
    <t>Steve Harris</t>
  </si>
  <si>
    <t>Steve Kahan</t>
  </si>
  <si>
    <t>Steve Martin</t>
  </si>
  <si>
    <t>Steve Toussaint</t>
  </si>
  <si>
    <t>Steven Seagal</t>
  </si>
  <si>
    <t>Sue Casey</t>
  </si>
  <si>
    <t>Sullivan Stapleton</t>
  </si>
  <si>
    <t>Suraj Sharma</t>
  </si>
  <si>
    <t>Susan Sarandon</t>
  </si>
  <si>
    <t>Susie Essman</t>
  </si>
  <si>
    <t>Sylvester Stallone</t>
  </si>
  <si>
    <t>T.J. Miller</t>
  </si>
  <si>
    <t>T.J. Thyne</t>
  </si>
  <si>
    <t>Tara Reid</t>
  </si>
  <si>
    <t>Taraji P. Henson</t>
  </si>
  <si>
    <t>Taylor Kitsch</t>
  </si>
  <si>
    <t>Taylor Lautner</t>
  </si>
  <si>
    <t>Terence Stamp</t>
  </si>
  <si>
    <t>Teri Polo</t>
  </si>
  <si>
    <t>Theo James</t>
  </si>
  <si>
    <t>Thomas Haden Church</t>
  </si>
  <si>
    <t>Thomas Hoffman</t>
  </si>
  <si>
    <t>Thomas Kretschmann</t>
  </si>
  <si>
    <t>Tim Allen</t>
  </si>
  <si>
    <t>Tim McGraw</t>
  </si>
  <si>
    <t>Tim Robbins</t>
  </si>
  <si>
    <t>Tim Roth</t>
  </si>
  <si>
    <t>Timothy Carhart</t>
  </si>
  <si>
    <t>Timothy Spall</t>
  </si>
  <si>
    <t>Tisha Campbell-Martin</t>
  </si>
  <si>
    <t>Tobey Maguire</t>
  </si>
  <si>
    <t>Tobin Bell</t>
  </si>
  <si>
    <t>Tom Berenger</t>
  </si>
  <si>
    <t>Tom Courtenay</t>
  </si>
  <si>
    <t>Tom Cruise</t>
  </si>
  <si>
    <t>Tom Hanks</t>
  </si>
  <si>
    <t>Tom Hardy</t>
  </si>
  <si>
    <t>Tom Kenny</t>
  </si>
  <si>
    <t>Tom Laughlin</t>
  </si>
  <si>
    <t>Tom Wilkinson</t>
  </si>
  <si>
    <t>Tom Wright</t>
  </si>
  <si>
    <t>Tommy Flanagan</t>
  </si>
  <si>
    <t>Tommy Lee Jones</t>
  </si>
  <si>
    <t>Tony Curran</t>
  </si>
  <si>
    <t>Tony Darrow</t>
  </si>
  <si>
    <t>Tony Goldwyn</t>
  </si>
  <si>
    <t>Tracy Morgan</t>
  </si>
  <si>
    <t>Tress MacNeille</t>
  </si>
  <si>
    <t>Ty Burrell</t>
  </si>
  <si>
    <t>Tyler Perry</t>
  </si>
  <si>
    <t>Udo Kier</t>
  </si>
  <si>
    <t>Val Kilmer</t>
  </si>
  <si>
    <t>Vanessa Ferlito</t>
  </si>
  <si>
    <t>Vera Farmiga</t>
  </si>
  <si>
    <t>Veronica Taylor</t>
  </si>
  <si>
    <t>Vin Diesel</t>
  </si>
  <si>
    <t>W. Earl Brown</t>
  </si>
  <si>
    <t>Wagner Moura</t>
  </si>
  <si>
    <t>Wayne Pere</t>
  </si>
  <si>
    <t>Wes Bentley</t>
  </si>
  <si>
    <t>Will Ferrell</t>
  </si>
  <si>
    <t>Will Poulter</t>
  </si>
  <si>
    <t>Will Smith</t>
  </si>
  <si>
    <t>William Bassett</t>
  </si>
  <si>
    <t>William H. Macy</t>
  </si>
  <si>
    <t>William Sanderson</t>
  </si>
  <si>
    <t>William Shatner</t>
  </si>
  <si>
    <t>Woody Harrelson</t>
  </si>
  <si>
    <t>Yaphet Kotto</t>
  </si>
  <si>
    <t>Zach Galifianakis</t>
  </si>
  <si>
    <t>Zachary Levi</t>
  </si>
  <si>
    <t>Zachary Quinto</t>
  </si>
  <si>
    <t>Genre Desc</t>
  </si>
  <si>
    <t>Contemporary Fiction</t>
  </si>
  <si>
    <t>Dramatization</t>
  </si>
  <si>
    <t>Factual</t>
  </si>
  <si>
    <t>Fantasy</t>
  </si>
  <si>
    <t>Historical Fiction</t>
  </si>
  <si>
    <t>Kids Fiction</t>
  </si>
  <si>
    <t>Multiple Creative Types</t>
  </si>
  <si>
    <t>Science Fiction</t>
  </si>
  <si>
    <t>Super Hero</t>
  </si>
  <si>
    <r>
      <t xml:space="preserve">Excel has many statistical functions that are useful for answering questions about the information in data sets.  Functions like </t>
    </r>
    <r>
      <rPr>
        <b/>
        <sz val="12"/>
        <color rgb="FFFF0000"/>
        <rFont val="Calibri"/>
        <family val="2"/>
        <scheme val="minor"/>
      </rPr>
      <t>COUNTIF, AVERAGEIF and SUMIF</t>
    </r>
    <r>
      <rPr>
        <sz val="12"/>
        <color theme="1"/>
        <rFont val="Calibri"/>
        <family val="2"/>
        <scheme val="minor"/>
      </rPr>
      <t xml:space="preserve"> (see Manzo 7.1) provide a statistical answer for cells in a range that meet a specified criteria.  There's also a set of statistical functions, the IFS's, that allow you to specify </t>
    </r>
    <r>
      <rPr>
        <u/>
        <sz val="12"/>
        <color theme="1"/>
        <rFont val="Calibri"/>
        <family val="2"/>
        <scheme val="minor"/>
      </rPr>
      <t>multiple</t>
    </r>
    <r>
      <rPr>
        <sz val="12"/>
        <color theme="1"/>
        <rFont val="Calibri"/>
        <family val="2"/>
        <scheme val="minor"/>
      </rPr>
      <t xml:space="preserve"> crtieria (multiple conditions if needed) for a statistical computation (see Manzo 7.2).  These IFS's include functions like </t>
    </r>
    <r>
      <rPr>
        <b/>
        <sz val="12"/>
        <color rgb="FFFF0000"/>
        <rFont val="Calibri"/>
        <family val="2"/>
        <scheme val="minor"/>
      </rPr>
      <t>COUNTIFS, AVERAGEIFS, SUMIFS, MAXIFS</t>
    </r>
    <r>
      <rPr>
        <sz val="12"/>
        <color theme="1"/>
        <rFont val="Calibri"/>
        <family val="2"/>
        <scheme val="minor"/>
      </rPr>
      <t xml:space="preserve"> and others.  
For the 3 questions below write a formula (using IF or IFS functions) in the Answer column that will display the value that answers the question.  </t>
    </r>
  </si>
  <si>
    <t>Genre</t>
  </si>
  <si>
    <t>Lead Actor</t>
  </si>
  <si>
    <t>Grand Total</t>
  </si>
  <si>
    <t>Sum of Total Box Office</t>
  </si>
  <si>
    <t>Average of Domestic Box Office</t>
  </si>
  <si>
    <t>Average of International Box Office</t>
  </si>
  <si>
    <t>Max of International Box Office</t>
  </si>
  <si>
    <t>International Box Office totals</t>
  </si>
  <si>
    <t>Row Labels</t>
  </si>
  <si>
    <t>Sum of Domestic Box Office</t>
  </si>
  <si>
    <t>Sum of International Box Office</t>
  </si>
  <si>
    <t>Sum of Production Budget</t>
  </si>
  <si>
    <t>Total</t>
  </si>
  <si>
    <t>Count of Best Picture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</si>
</sst>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164" formatCode="&quot;$&quot;#,##0"/>
    <numFmt numFmtId="165" formatCode="&quot;$&quot;#,##0;[Red]&quot;$&quot;#,##0"/>
    <numFmt numFmtId="166" formatCode="0;[Red]0"/>
  </numFmts>
  <fonts count="16" x14ac:knownFonts="1">
    <font>
      <sz val="12"/>
      <color theme="1"/>
      <name val="Calibri"/>
      <family val="2"/>
      <scheme val="minor"/>
    </font>
    <font>
      <b/>
      <sz val="11"/>
      <color rgb="FF000000"/>
      <name val="Calibri"/>
      <family val="2"/>
    </font>
    <font>
      <sz val="11"/>
      <color rgb="FF000000"/>
      <name val="Calibri"/>
      <family val="2"/>
    </font>
    <font>
      <sz val="8"/>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b/>
      <sz val="22"/>
      <color theme="1"/>
      <name val="Calibri"/>
      <family val="2"/>
      <scheme val="minor"/>
    </font>
    <font>
      <b/>
      <sz val="12"/>
      <color rgb="FF000000"/>
      <name val="Calibri"/>
      <family val="2"/>
    </font>
    <font>
      <sz val="12"/>
      <color rgb="FF000000"/>
      <name val="Calibri"/>
      <family val="2"/>
    </font>
    <font>
      <b/>
      <sz val="18"/>
      <color rgb="FFFF0000"/>
      <name val="Calibri"/>
      <family val="2"/>
      <scheme val="minor"/>
    </font>
    <font>
      <sz val="12"/>
      <color theme="1"/>
      <name val="Aptos Black"/>
      <family val="2"/>
    </font>
    <font>
      <sz val="11"/>
      <color theme="1"/>
      <name val="Aptos Black"/>
      <family val="2"/>
    </font>
    <font>
      <b/>
      <u/>
      <sz val="10"/>
      <color theme="10"/>
      <name val="Calibri"/>
      <family val="2"/>
      <scheme val="minor"/>
    </font>
    <font>
      <u/>
      <sz val="12"/>
      <color theme="1"/>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92D050"/>
        <bgColor rgb="FFC0C0C0"/>
      </patternFill>
    </fill>
    <fill>
      <patternFill patternType="solid">
        <fgColor rgb="FFFFFF00"/>
        <bgColor rgb="FFC0C0C0"/>
      </patternFill>
    </fill>
    <fill>
      <patternFill patternType="solid">
        <fgColor theme="8" tint="0.39997558519241921"/>
        <bgColor rgb="FFC0C0C0"/>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cellStyleXfs>
  <cellXfs count="84">
    <xf numFmtId="0" fontId="0" fillId="0" borderId="0" xfId="0"/>
    <xf numFmtId="0" fontId="0" fillId="0" borderId="0" xfId="0" applyAlignment="1">
      <alignment wrapText="1"/>
    </xf>
    <xf numFmtId="0" fontId="2" fillId="0" borderId="3" xfId="0" applyFont="1" applyBorder="1" applyAlignment="1">
      <alignment horizontal="right" vertical="center" wrapText="1"/>
    </xf>
    <xf numFmtId="0" fontId="7" fillId="0" borderId="0" xfId="0" applyFont="1"/>
    <xf numFmtId="5" fontId="0" fillId="0" borderId="0" xfId="0" applyNumberFormat="1" applyAlignment="1">
      <alignment wrapText="1"/>
    </xf>
    <xf numFmtId="0" fontId="9" fillId="0" borderId="3" xfId="0" applyFont="1" applyBorder="1" applyAlignment="1">
      <alignment horizontal="right" vertical="top" wrapText="1"/>
    </xf>
    <xf numFmtId="0" fontId="9" fillId="0" borderId="3" xfId="0" applyFont="1" applyBorder="1" applyAlignment="1">
      <alignment vertical="top" wrapText="1"/>
    </xf>
    <xf numFmtId="1" fontId="9" fillId="0" borderId="3" xfId="0" applyNumberFormat="1" applyFont="1" applyBorder="1" applyAlignment="1">
      <alignment horizontal="center" vertical="top" wrapText="1"/>
    </xf>
    <xf numFmtId="0" fontId="9" fillId="0" borderId="3" xfId="0" applyFont="1" applyBorder="1" applyAlignment="1">
      <alignment horizontal="right" vertical="center" wrapText="1"/>
    </xf>
    <xf numFmtId="164" fontId="9" fillId="0" borderId="3" xfId="0" applyNumberFormat="1" applyFont="1" applyBorder="1" applyAlignment="1">
      <alignment horizontal="right" vertical="top" wrapText="1"/>
    </xf>
    <xf numFmtId="165" fontId="0" fillId="0" borderId="0" xfId="0" applyNumberFormat="1" applyAlignment="1">
      <alignment vertical="top"/>
    </xf>
    <xf numFmtId="165" fontId="0" fillId="0" borderId="0" xfId="0" applyNumberFormat="1" applyAlignment="1">
      <alignment horizontal="center" vertical="top"/>
    </xf>
    <xf numFmtId="5" fontId="0" fillId="0" borderId="0" xfId="0" applyNumberFormat="1" applyAlignment="1">
      <alignment vertical="top"/>
    </xf>
    <xf numFmtId="0" fontId="0" fillId="0" borderId="0" xfId="0" applyAlignment="1">
      <alignment vertical="top"/>
    </xf>
    <xf numFmtId="1" fontId="0" fillId="0" borderId="0" xfId="0" applyNumberFormat="1" applyAlignment="1">
      <alignment horizontal="center" vertical="top"/>
    </xf>
    <xf numFmtId="164" fontId="0" fillId="0" borderId="0" xfId="0" applyNumberFormat="1" applyAlignment="1">
      <alignment vertical="top"/>
    </xf>
    <xf numFmtId="1" fontId="0" fillId="0" borderId="0" xfId="0" applyNumberFormat="1" applyAlignment="1">
      <alignment horizontal="center"/>
    </xf>
    <xf numFmtId="0" fontId="9" fillId="0" borderId="0" xfId="0" applyFont="1" applyAlignment="1">
      <alignment horizontal="right" wrapText="1"/>
    </xf>
    <xf numFmtId="164" fontId="0" fillId="0" borderId="0" xfId="0" applyNumberFormat="1"/>
    <xf numFmtId="164" fontId="0" fillId="0" borderId="0" xfId="0" applyNumberFormat="1" applyAlignment="1">
      <alignment horizontal="center"/>
    </xf>
    <xf numFmtId="5" fontId="0" fillId="0" borderId="0" xfId="0" applyNumberFormat="1"/>
    <xf numFmtId="0" fontId="9" fillId="0" borderId="0" xfId="0" applyFont="1" applyAlignment="1">
      <alignment horizontal="right" vertical="center" wrapText="1"/>
    </xf>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11" fillId="2" borderId="1" xfId="0" applyFont="1" applyFill="1" applyBorder="1" applyAlignment="1">
      <alignment horizontal="center"/>
    </xf>
    <xf numFmtId="0" fontId="11" fillId="2" borderId="1" xfId="0" applyFont="1" applyFill="1" applyBorder="1" applyAlignment="1">
      <alignment horizontal="center" wrapText="1"/>
    </xf>
    <xf numFmtId="0" fontId="12" fillId="0" borderId="1" xfId="0" quotePrefix="1" applyFont="1" applyBorder="1" applyAlignment="1">
      <alignment horizontal="left" vertical="center"/>
    </xf>
    <xf numFmtId="37" fontId="10" fillId="3" borderId="1" xfId="0" applyNumberFormat="1" applyFont="1" applyFill="1" applyBorder="1" applyAlignment="1">
      <alignment horizontal="center" vertical="center"/>
    </xf>
    <xf numFmtId="5" fontId="10" fillId="3" borderId="1" xfId="0" applyNumberFormat="1" applyFont="1" applyFill="1" applyBorder="1" applyAlignment="1">
      <alignment horizontal="center" vertical="center"/>
    </xf>
    <xf numFmtId="0" fontId="12" fillId="0" borderId="4" xfId="0" quotePrefix="1" applyFont="1" applyBorder="1" applyAlignment="1">
      <alignment horizontal="left" vertical="center"/>
    </xf>
    <xf numFmtId="0" fontId="12" fillId="0" borderId="4" xfId="0" quotePrefix="1" applyFont="1" applyBorder="1" applyAlignment="1">
      <alignment horizontal="left" vertical="center" wrapText="1"/>
    </xf>
    <xf numFmtId="0" fontId="13" fillId="0" borderId="5" xfId="7" applyFont="1" applyBorder="1" applyAlignment="1">
      <alignment vertical="top" wrapText="1"/>
    </xf>
    <xf numFmtId="0" fontId="8" fillId="4" borderId="1" xfId="0" applyFont="1" applyFill="1" applyBorder="1" applyAlignment="1">
      <alignment horizontal="center" wrapText="1"/>
    </xf>
    <xf numFmtId="1" fontId="8" fillId="4" borderId="1" xfId="0" applyNumberFormat="1" applyFont="1" applyFill="1" applyBorder="1" applyAlignment="1">
      <alignment horizontal="center" wrapText="1"/>
    </xf>
    <xf numFmtId="0" fontId="8" fillId="4" borderId="1" xfId="0" applyFont="1" applyFill="1" applyBorder="1" applyAlignment="1">
      <alignment horizontal="center" vertical="center"/>
    </xf>
    <xf numFmtId="5" fontId="8" fillId="4" borderId="2" xfId="0" applyNumberFormat="1" applyFont="1" applyFill="1" applyBorder="1" applyAlignment="1">
      <alignment horizontal="center" wrapText="1"/>
    </xf>
    <xf numFmtId="0" fontId="1" fillId="5" borderId="1" xfId="0" applyFont="1" applyFill="1" applyBorder="1" applyAlignment="1">
      <alignment horizontal="center" vertical="center"/>
    </xf>
    <xf numFmtId="0" fontId="2" fillId="0" borderId="3" xfId="0" applyFont="1" applyBorder="1" applyAlignment="1">
      <alignment vertical="center" wrapText="1"/>
    </xf>
    <xf numFmtId="0" fontId="8" fillId="6" borderId="0" xfId="0" applyFont="1" applyFill="1" applyAlignment="1">
      <alignment horizontal="center" vertical="center"/>
    </xf>
    <xf numFmtId="0" fontId="8" fillId="6" borderId="1" xfId="0" applyFont="1" applyFill="1" applyBorder="1" applyAlignment="1">
      <alignment horizontal="center" vertical="center"/>
    </xf>
    <xf numFmtId="166" fontId="0" fillId="0" borderId="0" xfId="0" applyNumberFormat="1" applyAlignment="1">
      <alignment horizontal="center"/>
    </xf>
    <xf numFmtId="0" fontId="9" fillId="0" borderId="3" xfId="0" applyFont="1" applyBorder="1" applyAlignment="1">
      <alignment vertical="center" wrapText="1"/>
    </xf>
    <xf numFmtId="0" fontId="6" fillId="0" borderId="1" xfId="0" applyFont="1" applyBorder="1" applyAlignment="1">
      <alignment horizontal="center" vertical="center" wrapText="1"/>
    </xf>
    <xf numFmtId="1" fontId="8"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0" fontId="0" fillId="0" borderId="9" xfId="0" applyBorder="1"/>
    <xf numFmtId="0" fontId="0" fillId="0" borderId="15" xfId="0" applyBorder="1"/>
    <xf numFmtId="0" fontId="0" fillId="0" borderId="1" xfId="0" pivotButton="1" applyBorder="1"/>
    <xf numFmtId="0" fontId="0" fillId="0" borderId="4" xfId="0" applyBorder="1"/>
    <xf numFmtId="0" fontId="0" fillId="0" borderId="2" xfId="0" applyBorder="1"/>
    <xf numFmtId="0" fontId="0" fillId="0" borderId="5" xfId="0" applyBorder="1"/>
    <xf numFmtId="0" fontId="0" fillId="0" borderId="1" xfId="0" applyBorder="1"/>
    <xf numFmtId="0" fontId="0" fillId="0" borderId="14" xfId="0" applyBorder="1"/>
    <xf numFmtId="2" fontId="0" fillId="0" borderId="13" xfId="0" applyNumberFormat="1" applyBorder="1"/>
    <xf numFmtId="0" fontId="0" fillId="0" borderId="1" xfId="0" applyBorder="1" applyAlignment="1">
      <alignment horizontal="left"/>
    </xf>
    <xf numFmtId="0" fontId="0" fillId="0" borderId="0" xfId="0" applyAlignment="1">
      <alignment horizontal="left" vertical="top" wrapText="1"/>
    </xf>
    <xf numFmtId="0" fontId="6" fillId="0" borderId="1" xfId="0" applyFont="1" applyBorder="1" applyAlignment="1">
      <alignment horizontal="center" vertical="center" wrapText="1"/>
    </xf>
    <xf numFmtId="5" fontId="10" fillId="3" borderId="1" xfId="0" applyNumberFormat="1" applyFont="1" applyFill="1" applyBorder="1" applyAlignment="1">
      <alignment horizontal="center" vertical="center"/>
    </xf>
    <xf numFmtId="0" fontId="0" fillId="0" borderId="0" xfId="0" pivotButton="1"/>
    <xf numFmtId="0" fontId="0" fillId="0" borderId="0" xfId="0" applyNumberFormat="1"/>
    <xf numFmtId="0" fontId="0" fillId="0" borderId="0" xfId="0" applyNumberFormat="1" applyBorder="1"/>
    <xf numFmtId="0" fontId="0" fillId="0" borderId="6" xfId="0" applyNumberFormat="1" applyBorder="1"/>
    <xf numFmtId="0" fontId="0" fillId="0" borderId="11"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2"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Alignment="1">
      <alignment horizontal="left"/>
    </xf>
    <xf numFmtId="0" fontId="0" fillId="0" borderId="1" xfId="0" applyNumberFormat="1" applyBorder="1"/>
    <xf numFmtId="2" fontId="0" fillId="0" borderId="0" xfId="0" applyNumberFormat="1"/>
    <xf numFmtId="2" fontId="0" fillId="0" borderId="1" xfId="0" applyNumberFormat="1" applyBorder="1"/>
  </cellXfs>
  <cellStyles count="8">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Hyperlink" xfId="7" builtinId="8"/>
    <cellStyle name="Normal" xfId="0" builtinId="0"/>
  </cellStyles>
  <dxfs count="96">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2" formatCode="0.0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Movies By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Domestic Box Office</c:v>
                </c:pt>
              </c:strCache>
            </c:strRef>
          </c:tx>
          <c:spPr>
            <a:solidFill>
              <a:schemeClr val="accent1"/>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Sheet1!$B$2:$B$6</c:f>
              <c:numCache>
                <c:formatCode>General</c:formatCode>
                <c:ptCount val="5"/>
                <c:pt idx="0">
                  <c:v>760507625</c:v>
                </c:pt>
                <c:pt idx="1">
                  <c:v>623279547</c:v>
                </c:pt>
                <c:pt idx="2">
                  <c:v>652188220</c:v>
                </c:pt>
                <c:pt idx="3">
                  <c:v>658672302</c:v>
                </c:pt>
                <c:pt idx="4">
                  <c:v>533345358</c:v>
                </c:pt>
              </c:numCache>
            </c:numRef>
          </c:val>
          <c:extLst>
            <c:ext xmlns:c16="http://schemas.microsoft.com/office/drawing/2014/chart" uri="{C3380CC4-5D6E-409C-BE32-E72D297353CC}">
              <c16:uniqueId val="{00000000-3C2E-40DE-B8FE-B441022ED540}"/>
            </c:ext>
          </c:extLst>
        </c:ser>
        <c:ser>
          <c:idx val="1"/>
          <c:order val="1"/>
          <c:tx>
            <c:strRef>
              <c:f>Sheet1!$C$1</c:f>
              <c:strCache>
                <c:ptCount val="1"/>
                <c:pt idx="0">
                  <c:v>Sum of International Box Office</c:v>
                </c:pt>
              </c:strCache>
            </c:strRef>
          </c:tx>
          <c:spPr>
            <a:solidFill>
              <a:schemeClr val="accent2"/>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Sheet1!$C$2:$C$6</c:f>
              <c:numCache>
                <c:formatCode>General</c:formatCode>
                <c:ptCount val="5"/>
                <c:pt idx="0">
                  <c:v>2023411357</c:v>
                </c:pt>
                <c:pt idx="1">
                  <c:v>896200000</c:v>
                </c:pt>
                <c:pt idx="2">
                  <c:v>1016713244</c:v>
                </c:pt>
                <c:pt idx="3">
                  <c:v>1548943366</c:v>
                </c:pt>
                <c:pt idx="4">
                  <c:v>469546000</c:v>
                </c:pt>
              </c:numCache>
            </c:numRef>
          </c:val>
          <c:extLst>
            <c:ext xmlns:c16="http://schemas.microsoft.com/office/drawing/2014/chart" uri="{C3380CC4-5D6E-409C-BE32-E72D297353CC}">
              <c16:uniqueId val="{00000001-3C2E-40DE-B8FE-B441022ED540}"/>
            </c:ext>
          </c:extLst>
        </c:ser>
        <c:ser>
          <c:idx val="2"/>
          <c:order val="2"/>
          <c:tx>
            <c:strRef>
              <c:f>Sheet1!$D$1</c:f>
              <c:strCache>
                <c:ptCount val="1"/>
                <c:pt idx="0">
                  <c:v>Sum of Production Budget</c:v>
                </c:pt>
              </c:strCache>
            </c:strRef>
          </c:tx>
          <c:spPr>
            <a:solidFill>
              <a:schemeClr val="accent3"/>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Sheet1!$D$2:$D$6</c:f>
              <c:numCache>
                <c:formatCode>General</c:formatCode>
                <c:ptCount val="5"/>
                <c:pt idx="0">
                  <c:v>425000000</c:v>
                </c:pt>
                <c:pt idx="1">
                  <c:v>225000000</c:v>
                </c:pt>
                <c:pt idx="2">
                  <c:v>215000000</c:v>
                </c:pt>
                <c:pt idx="3">
                  <c:v>200000000</c:v>
                </c:pt>
                <c:pt idx="4">
                  <c:v>185000000</c:v>
                </c:pt>
              </c:numCache>
            </c:numRef>
          </c:val>
          <c:extLst>
            <c:ext xmlns:c16="http://schemas.microsoft.com/office/drawing/2014/chart" uri="{C3380CC4-5D6E-409C-BE32-E72D297353CC}">
              <c16:uniqueId val="{00000002-3C2E-40DE-B8FE-B441022ED540}"/>
            </c:ext>
          </c:extLst>
        </c:ser>
        <c:dLbls>
          <c:showLegendKey val="0"/>
          <c:showVal val="0"/>
          <c:showCatName val="0"/>
          <c:showSerName val="0"/>
          <c:showPercent val="0"/>
          <c:showBubbleSize val="0"/>
        </c:dLbls>
        <c:gapWidth val="219"/>
        <c:overlap val="-27"/>
        <c:axId val="1328289072"/>
        <c:axId val="1328272752"/>
      </c:barChart>
      <c:catAx>
        <c:axId val="132828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272752"/>
        <c:crosses val="autoZero"/>
        <c:auto val="1"/>
        <c:lblAlgn val="ctr"/>
        <c:lblOffset val="100"/>
        <c:noMultiLvlLbl val="0"/>
      </c:catAx>
      <c:valAx>
        <c:axId val="1328272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828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Genres By Budget and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Sheet1!$E$9</c:f>
              <c:strCache>
                <c:ptCount val="1"/>
                <c:pt idx="0">
                  <c:v>Sum of Production 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8B-4443-B104-865F02A042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8B-4443-B104-865F02A042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8B-4443-B104-865F02A042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8B-4443-B104-865F02A0425C}"/>
              </c:ext>
            </c:extLst>
          </c:dPt>
          <c:cat>
            <c:strRef>
              <c:f>Sheet1!$D$10:$D$13</c:f>
              <c:strCache>
                <c:ptCount val="4"/>
                <c:pt idx="0">
                  <c:v>Contemporary Fiction</c:v>
                </c:pt>
                <c:pt idx="1">
                  <c:v>Science Fiction</c:v>
                </c:pt>
                <c:pt idx="2">
                  <c:v>Fantasy</c:v>
                </c:pt>
                <c:pt idx="3">
                  <c:v>Kids Fiction</c:v>
                </c:pt>
              </c:strCache>
            </c:strRef>
          </c:cat>
          <c:val>
            <c:numRef>
              <c:f>Sheet1!$E$10:$E$13</c:f>
              <c:numCache>
                <c:formatCode>General</c:formatCode>
                <c:ptCount val="4"/>
                <c:pt idx="0">
                  <c:v>25379119975</c:v>
                </c:pt>
                <c:pt idx="1">
                  <c:v>12398702619</c:v>
                </c:pt>
                <c:pt idx="2">
                  <c:v>10741838000</c:v>
                </c:pt>
                <c:pt idx="3">
                  <c:v>10816200000</c:v>
                </c:pt>
              </c:numCache>
            </c:numRef>
          </c:val>
          <c:extLst>
            <c:ext xmlns:c16="http://schemas.microsoft.com/office/drawing/2014/chart" uri="{C3380CC4-5D6E-409C-BE32-E72D297353CC}">
              <c16:uniqueId val="{00000008-E58B-4443-B104-865F02A0425C}"/>
            </c:ext>
          </c:extLst>
        </c:ser>
        <c:ser>
          <c:idx val="1"/>
          <c:order val="1"/>
          <c:tx>
            <c:strRef>
              <c:f>Sheet1!$F$9</c:f>
              <c:strCache>
                <c:ptCount val="1"/>
                <c:pt idx="0">
                  <c:v>Sum of International Box Office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58B-4443-B104-865F02A042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E58B-4443-B104-865F02A042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E58B-4443-B104-865F02A042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E58B-4443-B104-865F02A0425C}"/>
              </c:ext>
            </c:extLst>
          </c:dPt>
          <c:cat>
            <c:strRef>
              <c:f>Sheet1!$D$10:$D$13</c:f>
              <c:strCache>
                <c:ptCount val="4"/>
                <c:pt idx="0">
                  <c:v>Contemporary Fiction</c:v>
                </c:pt>
                <c:pt idx="1">
                  <c:v>Science Fiction</c:v>
                </c:pt>
                <c:pt idx="2">
                  <c:v>Fantasy</c:v>
                </c:pt>
                <c:pt idx="3">
                  <c:v>Kids Fiction</c:v>
                </c:pt>
              </c:strCache>
            </c:strRef>
          </c:cat>
          <c:val>
            <c:numRef>
              <c:f>Sheet1!$F$10:$F$13</c:f>
              <c:numCache>
                <c:formatCode>General</c:formatCode>
                <c:ptCount val="4"/>
                <c:pt idx="0">
                  <c:v>62285787388</c:v>
                </c:pt>
                <c:pt idx="1">
                  <c:v>31207565682</c:v>
                </c:pt>
                <c:pt idx="2">
                  <c:v>30347341225</c:v>
                </c:pt>
                <c:pt idx="3">
                  <c:v>28153190547</c:v>
                </c:pt>
              </c:numCache>
            </c:numRef>
          </c:val>
          <c:extLst>
            <c:ext xmlns:c16="http://schemas.microsoft.com/office/drawing/2014/chart" uri="{C3380CC4-5D6E-409C-BE32-E72D297353CC}">
              <c16:uniqueId val="{00000011-E58B-4443-B104-865F02A042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a:t>
            </a:r>
            <a:r>
              <a:rPr lang="en-US" b="1" baseline="0">
                <a:solidFill>
                  <a:schemeClr val="tx1"/>
                </a:solidFill>
              </a:rPr>
              <a:t> Movies By Budget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Domestic Box Office</c:v>
                </c:pt>
              </c:strCache>
            </c:strRef>
          </c:tx>
          <c:spPr>
            <a:solidFill>
              <a:schemeClr val="accent1"/>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Sheet1!$B$2:$B$6</c:f>
              <c:numCache>
                <c:formatCode>General</c:formatCode>
                <c:ptCount val="5"/>
                <c:pt idx="0">
                  <c:v>760507625</c:v>
                </c:pt>
                <c:pt idx="1">
                  <c:v>623279547</c:v>
                </c:pt>
                <c:pt idx="2">
                  <c:v>652188220</c:v>
                </c:pt>
                <c:pt idx="3">
                  <c:v>658672302</c:v>
                </c:pt>
                <c:pt idx="4">
                  <c:v>533345358</c:v>
                </c:pt>
              </c:numCache>
            </c:numRef>
          </c:val>
          <c:extLst>
            <c:ext xmlns:c16="http://schemas.microsoft.com/office/drawing/2014/chart" uri="{C3380CC4-5D6E-409C-BE32-E72D297353CC}">
              <c16:uniqueId val="{00000000-FE92-41A3-83E9-11B4983327CD}"/>
            </c:ext>
          </c:extLst>
        </c:ser>
        <c:ser>
          <c:idx val="1"/>
          <c:order val="1"/>
          <c:tx>
            <c:strRef>
              <c:f>Sheet1!$C$1</c:f>
              <c:strCache>
                <c:ptCount val="1"/>
                <c:pt idx="0">
                  <c:v>Sum of International Box Office</c:v>
                </c:pt>
              </c:strCache>
            </c:strRef>
          </c:tx>
          <c:spPr>
            <a:solidFill>
              <a:schemeClr val="accent2"/>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Sheet1!$C$2:$C$6</c:f>
              <c:numCache>
                <c:formatCode>General</c:formatCode>
                <c:ptCount val="5"/>
                <c:pt idx="0">
                  <c:v>2023411357</c:v>
                </c:pt>
                <c:pt idx="1">
                  <c:v>896200000</c:v>
                </c:pt>
                <c:pt idx="2">
                  <c:v>1016713244</c:v>
                </c:pt>
                <c:pt idx="3">
                  <c:v>1548943366</c:v>
                </c:pt>
                <c:pt idx="4">
                  <c:v>469546000</c:v>
                </c:pt>
              </c:numCache>
            </c:numRef>
          </c:val>
          <c:extLst>
            <c:ext xmlns:c16="http://schemas.microsoft.com/office/drawing/2014/chart" uri="{C3380CC4-5D6E-409C-BE32-E72D297353CC}">
              <c16:uniqueId val="{00000001-FE92-41A3-83E9-11B4983327CD}"/>
            </c:ext>
          </c:extLst>
        </c:ser>
        <c:ser>
          <c:idx val="2"/>
          <c:order val="2"/>
          <c:tx>
            <c:strRef>
              <c:f>Sheet1!$D$1</c:f>
              <c:strCache>
                <c:ptCount val="1"/>
                <c:pt idx="0">
                  <c:v>Sum of Production Budget</c:v>
                </c:pt>
              </c:strCache>
            </c:strRef>
          </c:tx>
          <c:spPr>
            <a:solidFill>
              <a:schemeClr val="accent3"/>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Sheet1!$D$2:$D$6</c:f>
              <c:numCache>
                <c:formatCode>General</c:formatCode>
                <c:ptCount val="5"/>
                <c:pt idx="0">
                  <c:v>425000000</c:v>
                </c:pt>
                <c:pt idx="1">
                  <c:v>225000000</c:v>
                </c:pt>
                <c:pt idx="2">
                  <c:v>215000000</c:v>
                </c:pt>
                <c:pt idx="3">
                  <c:v>200000000</c:v>
                </c:pt>
                <c:pt idx="4">
                  <c:v>185000000</c:v>
                </c:pt>
              </c:numCache>
            </c:numRef>
          </c:val>
          <c:extLst>
            <c:ext xmlns:c16="http://schemas.microsoft.com/office/drawing/2014/chart" uri="{C3380CC4-5D6E-409C-BE32-E72D297353CC}">
              <c16:uniqueId val="{00000002-FE92-41A3-83E9-11B4983327CD}"/>
            </c:ext>
          </c:extLst>
        </c:ser>
        <c:dLbls>
          <c:showLegendKey val="0"/>
          <c:showVal val="0"/>
          <c:showCatName val="0"/>
          <c:showSerName val="0"/>
          <c:showPercent val="0"/>
          <c:showBubbleSize val="0"/>
        </c:dLbls>
        <c:gapWidth val="219"/>
        <c:overlap val="-27"/>
        <c:axId val="1328289072"/>
        <c:axId val="1328272752"/>
      </c:barChart>
      <c:catAx>
        <c:axId val="132828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272752"/>
        <c:crosses val="autoZero"/>
        <c:auto val="1"/>
        <c:lblAlgn val="ctr"/>
        <c:lblOffset val="100"/>
        <c:noMultiLvlLbl val="0"/>
      </c:catAx>
      <c:valAx>
        <c:axId val="1328272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828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Genres By Budget and Earnings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Sheet1!$E$9</c:f>
              <c:strCache>
                <c:ptCount val="1"/>
                <c:pt idx="0">
                  <c:v>Sum of Production Budget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Sheet1!$D$10:$D$13</c:f>
              <c:strCache>
                <c:ptCount val="4"/>
                <c:pt idx="0">
                  <c:v>Contemporary Fiction</c:v>
                </c:pt>
                <c:pt idx="1">
                  <c:v>Science Fiction</c:v>
                </c:pt>
                <c:pt idx="2">
                  <c:v>Fantasy</c:v>
                </c:pt>
                <c:pt idx="3">
                  <c:v>Kids Fiction</c:v>
                </c:pt>
              </c:strCache>
            </c:strRef>
          </c:cat>
          <c:val>
            <c:numRef>
              <c:f>Sheet1!$E$10:$E$13</c:f>
              <c:numCache>
                <c:formatCode>General</c:formatCode>
                <c:ptCount val="4"/>
                <c:pt idx="0">
                  <c:v>25379119975</c:v>
                </c:pt>
                <c:pt idx="1">
                  <c:v>12398702619</c:v>
                </c:pt>
                <c:pt idx="2">
                  <c:v>10741838000</c:v>
                </c:pt>
                <c:pt idx="3">
                  <c:v>10816200000</c:v>
                </c:pt>
              </c:numCache>
            </c:numRef>
          </c:val>
          <c:extLst>
            <c:ext xmlns:c16="http://schemas.microsoft.com/office/drawing/2014/chart" uri="{C3380CC4-5D6E-409C-BE32-E72D297353CC}">
              <c16:uniqueId val="{00000000-E528-449C-8F7F-CF2BA8A30250}"/>
            </c:ext>
          </c:extLst>
        </c:ser>
        <c:ser>
          <c:idx val="1"/>
          <c:order val="1"/>
          <c:tx>
            <c:strRef>
              <c:f>Sheet1!$F$9</c:f>
              <c:strCache>
                <c:ptCount val="1"/>
                <c:pt idx="0">
                  <c:v>Sum of International Box Office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Sheet1!$D$10:$D$13</c:f>
              <c:strCache>
                <c:ptCount val="4"/>
                <c:pt idx="0">
                  <c:v>Contemporary Fiction</c:v>
                </c:pt>
                <c:pt idx="1">
                  <c:v>Science Fiction</c:v>
                </c:pt>
                <c:pt idx="2">
                  <c:v>Fantasy</c:v>
                </c:pt>
                <c:pt idx="3">
                  <c:v>Kids Fiction</c:v>
                </c:pt>
              </c:strCache>
            </c:strRef>
          </c:cat>
          <c:val>
            <c:numRef>
              <c:f>Sheet1!$F$10:$F$13</c:f>
              <c:numCache>
                <c:formatCode>General</c:formatCode>
                <c:ptCount val="4"/>
                <c:pt idx="0">
                  <c:v>62285787388</c:v>
                </c:pt>
                <c:pt idx="1">
                  <c:v>31207565682</c:v>
                </c:pt>
                <c:pt idx="2">
                  <c:v>30347341225</c:v>
                </c:pt>
                <c:pt idx="3">
                  <c:v>28153190547</c:v>
                </c:pt>
              </c:numCache>
            </c:numRef>
          </c:val>
          <c:extLst>
            <c:ext xmlns:c16="http://schemas.microsoft.com/office/drawing/2014/chart" uri="{C3380CC4-5D6E-409C-BE32-E72D297353CC}">
              <c16:uniqueId val="{00000001-E528-449C-8F7F-CF2BA8A302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Sheet1!$C$655</c:f>
              <c:strCache>
                <c:ptCount val="1"/>
                <c:pt idx="0">
                  <c:v>Total</c:v>
                </c:pt>
              </c:strCache>
            </c:strRef>
          </c:tx>
          <c:spPr>
            <a:solidFill>
              <a:schemeClr val="accent1"/>
            </a:solidFill>
            <a:ln>
              <a:noFill/>
            </a:ln>
            <a:effectLst/>
          </c:spPr>
          <c:invertIfNegative val="0"/>
          <c:cat>
            <c:strRef>
              <c:f>Sheet1!$B$656:$B$660</c:f>
              <c:strCache>
                <c:ptCount val="5"/>
                <c:pt idx="0">
                  <c:v>Tom Cruise</c:v>
                </c:pt>
                <c:pt idx="1">
                  <c:v>Johnny Depp</c:v>
                </c:pt>
                <c:pt idx="2">
                  <c:v>Vin Diesel</c:v>
                </c:pt>
                <c:pt idx="3">
                  <c:v>Leonardo DiCaprio</c:v>
                </c:pt>
                <c:pt idx="4">
                  <c:v>Dileep Rao</c:v>
                </c:pt>
              </c:strCache>
            </c:strRef>
          </c:cat>
          <c:val>
            <c:numRef>
              <c:f>Sheet1!$C$656:$C$660</c:f>
              <c:numCache>
                <c:formatCode>General</c:formatCode>
                <c:ptCount val="5"/>
                <c:pt idx="0">
                  <c:v>3506760977</c:v>
                </c:pt>
                <c:pt idx="1">
                  <c:v>3177467961</c:v>
                </c:pt>
                <c:pt idx="2">
                  <c:v>2261888889</c:v>
                </c:pt>
                <c:pt idx="3">
                  <c:v>2201668243</c:v>
                </c:pt>
                <c:pt idx="4">
                  <c:v>2023411357</c:v>
                </c:pt>
              </c:numCache>
            </c:numRef>
          </c:val>
          <c:extLst>
            <c:ext xmlns:c16="http://schemas.microsoft.com/office/drawing/2014/chart" uri="{C3380CC4-5D6E-409C-BE32-E72D297353CC}">
              <c16:uniqueId val="{00000000-4198-4C0C-A4EB-A12F2A7CB812}"/>
            </c:ext>
          </c:extLst>
        </c:ser>
        <c:dLbls>
          <c:showLegendKey val="0"/>
          <c:showVal val="0"/>
          <c:showCatName val="0"/>
          <c:showSerName val="0"/>
          <c:showPercent val="0"/>
          <c:showBubbleSize val="0"/>
        </c:dLbls>
        <c:gapWidth val="219"/>
        <c:overlap val="-27"/>
        <c:axId val="1412261328"/>
        <c:axId val="1412261824"/>
      </c:barChart>
      <c:catAx>
        <c:axId val="14122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61824"/>
        <c:crosses val="autoZero"/>
        <c:auto val="1"/>
        <c:lblAlgn val="ctr"/>
        <c:lblOffset val="100"/>
        <c:noMultiLvlLbl val="0"/>
      </c:catAx>
      <c:valAx>
        <c:axId val="1412261824"/>
        <c:scaling>
          <c:orientation val="minMax"/>
        </c:scaling>
        <c:delete val="1"/>
        <c:axPos val="l"/>
        <c:numFmt formatCode="General" sourceLinked="1"/>
        <c:majorTickMark val="none"/>
        <c:minorTickMark val="none"/>
        <c:tickLblPos val="nextTo"/>
        <c:crossAx val="141226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Movie Budget 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Sheet1!$D$675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Sheet1!$C$676:$C$678</c:f>
              <c:strCache>
                <c:ptCount val="3"/>
                <c:pt idx="0">
                  <c:v>Johnny Depp</c:v>
                </c:pt>
                <c:pt idx="1">
                  <c:v>Tom Cruise</c:v>
                </c:pt>
                <c:pt idx="2">
                  <c:v>Daniel Craig</c:v>
                </c:pt>
              </c:strCache>
            </c:strRef>
          </c:cat>
          <c:val>
            <c:numRef>
              <c:f>Sheet1!$D$676:$D$678</c:f>
              <c:numCache>
                <c:formatCode>General</c:formatCode>
                <c:ptCount val="3"/>
                <c:pt idx="0">
                  <c:v>1682500000</c:v>
                </c:pt>
                <c:pt idx="1">
                  <c:v>1376000000</c:v>
                </c:pt>
                <c:pt idx="2">
                  <c:v>820000000</c:v>
                </c:pt>
              </c:numCache>
            </c:numRef>
          </c:val>
          <c:extLst>
            <c:ext xmlns:c16="http://schemas.microsoft.com/office/drawing/2014/chart" uri="{C3380CC4-5D6E-409C-BE32-E72D297353CC}">
              <c16:uniqueId val="{00000000-8797-4212-90A3-6A35A593C9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Worksheet.xlsx]Sheet1!PivotTable20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Sheet1!$G$675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Sheet1!$F$676:$F$678</c:f>
              <c:strCache>
                <c:ptCount val="3"/>
                <c:pt idx="0">
                  <c:v>Tom Cruise</c:v>
                </c:pt>
                <c:pt idx="1">
                  <c:v>Johnny Depp</c:v>
                </c:pt>
                <c:pt idx="2">
                  <c:v>Vin Diesel</c:v>
                </c:pt>
              </c:strCache>
            </c:strRef>
          </c:cat>
          <c:val>
            <c:numRef>
              <c:f>Sheet1!$G$676:$G$678</c:f>
              <c:numCache>
                <c:formatCode>General</c:formatCode>
                <c:ptCount val="3"/>
                <c:pt idx="0">
                  <c:v>3506760977</c:v>
                </c:pt>
                <c:pt idx="1">
                  <c:v>3177467961</c:v>
                </c:pt>
                <c:pt idx="2">
                  <c:v>2261888889</c:v>
                </c:pt>
              </c:numCache>
            </c:numRef>
          </c:val>
          <c:extLst>
            <c:ext xmlns:c16="http://schemas.microsoft.com/office/drawing/2014/chart" uri="{C3380CC4-5D6E-409C-BE32-E72D297353CC}">
              <c16:uniqueId val="{00000000-8DE1-4A21-ACA7-9B22088110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Best Picture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Sheet1!$M$675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Sheet1!$L$676:$L$678</c:f>
              <c:strCache>
                <c:ptCount val="3"/>
                <c:pt idx="0">
                  <c:v>David Patrick O'Hara</c:v>
                </c:pt>
                <c:pt idx="1">
                  <c:v>Tom Berenger</c:v>
                </c:pt>
                <c:pt idx="2">
                  <c:v>Russell Crowe</c:v>
                </c:pt>
              </c:strCache>
            </c:strRef>
          </c:cat>
          <c:val>
            <c:numRef>
              <c:f>Sheet1!$M$676:$M$678</c:f>
              <c:numCache>
                <c:formatCode>General</c:formatCode>
                <c:ptCount val="3"/>
                <c:pt idx="0">
                  <c:v>2</c:v>
                </c:pt>
                <c:pt idx="1">
                  <c:v>1</c:v>
                </c:pt>
                <c:pt idx="2">
                  <c:v>1</c:v>
                </c:pt>
              </c:numCache>
            </c:numRef>
          </c:val>
          <c:extLst>
            <c:ext xmlns:c16="http://schemas.microsoft.com/office/drawing/2014/chart" uri="{C3380CC4-5D6E-409C-BE32-E72D297353CC}">
              <c16:uniqueId val="{00000000-C1FE-418A-A0AA-E664AA7DAF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Worksheet.xlsx]Sheet1!PivotTable18</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5 Actor By  Int. Box-Office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Sheet1!$C$655</c:f>
              <c:strCache>
                <c:ptCount val="1"/>
                <c:pt idx="0">
                  <c:v>Total</c:v>
                </c:pt>
              </c:strCache>
            </c:strRef>
          </c:tx>
          <c:spPr>
            <a:solidFill>
              <a:schemeClr val="accent6">
                <a:lumMod val="40000"/>
                <a:lumOff val="60000"/>
              </a:schemeClr>
            </a:solidFill>
            <a:ln>
              <a:noFill/>
            </a:ln>
            <a:effectLst/>
          </c:spPr>
          <c:invertIfNegative val="0"/>
          <c:cat>
            <c:strRef>
              <c:f>Sheet1!$B$656:$B$660</c:f>
              <c:strCache>
                <c:ptCount val="5"/>
                <c:pt idx="0">
                  <c:v>Tom Cruise</c:v>
                </c:pt>
                <c:pt idx="1">
                  <c:v>Johnny Depp</c:v>
                </c:pt>
                <c:pt idx="2">
                  <c:v>Vin Diesel</c:v>
                </c:pt>
                <c:pt idx="3">
                  <c:v>Leonardo DiCaprio</c:v>
                </c:pt>
                <c:pt idx="4">
                  <c:v>Dileep Rao</c:v>
                </c:pt>
              </c:strCache>
            </c:strRef>
          </c:cat>
          <c:val>
            <c:numRef>
              <c:f>Sheet1!$C$656:$C$660</c:f>
              <c:numCache>
                <c:formatCode>General</c:formatCode>
                <c:ptCount val="5"/>
                <c:pt idx="0">
                  <c:v>3506760977</c:v>
                </c:pt>
                <c:pt idx="1">
                  <c:v>3177467961</c:v>
                </c:pt>
                <c:pt idx="2">
                  <c:v>2261888889</c:v>
                </c:pt>
                <c:pt idx="3">
                  <c:v>2201668243</c:v>
                </c:pt>
                <c:pt idx="4">
                  <c:v>2023411357</c:v>
                </c:pt>
              </c:numCache>
            </c:numRef>
          </c:val>
          <c:extLst>
            <c:ext xmlns:c16="http://schemas.microsoft.com/office/drawing/2014/chart" uri="{C3380CC4-5D6E-409C-BE32-E72D297353CC}">
              <c16:uniqueId val="{00000000-B9A6-41C2-A527-A353BAE16699}"/>
            </c:ext>
          </c:extLst>
        </c:ser>
        <c:dLbls>
          <c:showLegendKey val="0"/>
          <c:showVal val="0"/>
          <c:showCatName val="0"/>
          <c:showSerName val="0"/>
          <c:showPercent val="0"/>
          <c:showBubbleSize val="0"/>
        </c:dLbls>
        <c:gapWidth val="219"/>
        <c:overlap val="-27"/>
        <c:axId val="1412261328"/>
        <c:axId val="1412261824"/>
      </c:barChart>
      <c:catAx>
        <c:axId val="14122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12261824"/>
        <c:crosses val="autoZero"/>
        <c:auto val="1"/>
        <c:lblAlgn val="ctr"/>
        <c:lblOffset val="100"/>
        <c:noMultiLvlLbl val="0"/>
      </c:catAx>
      <c:valAx>
        <c:axId val="1412261824"/>
        <c:scaling>
          <c:orientation val="minMax"/>
        </c:scaling>
        <c:delete val="1"/>
        <c:axPos val="l"/>
        <c:numFmt formatCode="General" sourceLinked="1"/>
        <c:majorTickMark val="none"/>
        <c:minorTickMark val="none"/>
        <c:tickLblPos val="nextTo"/>
        <c:crossAx val="141226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Worksheet.xlsx]Sheet1!PivotTable19</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Most Production Budget Get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Sheet1!$D$675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0E-47ED-A3C0-0A6C0BBD04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0E-47ED-A3C0-0A6C0BBD04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0E-47ED-A3C0-0A6C0BBD0435}"/>
              </c:ext>
            </c:extLst>
          </c:dPt>
          <c:cat>
            <c:strRef>
              <c:f>Sheet1!$C$676:$C$678</c:f>
              <c:strCache>
                <c:ptCount val="3"/>
                <c:pt idx="0">
                  <c:v>Johnny Depp</c:v>
                </c:pt>
                <c:pt idx="1">
                  <c:v>Tom Cruise</c:v>
                </c:pt>
                <c:pt idx="2">
                  <c:v>Daniel Craig</c:v>
                </c:pt>
              </c:strCache>
            </c:strRef>
          </c:cat>
          <c:val>
            <c:numRef>
              <c:f>Sheet1!$D$676:$D$678</c:f>
              <c:numCache>
                <c:formatCode>General</c:formatCode>
                <c:ptCount val="3"/>
                <c:pt idx="0">
                  <c:v>1682500000</c:v>
                </c:pt>
                <c:pt idx="1">
                  <c:v>1376000000</c:v>
                </c:pt>
                <c:pt idx="2">
                  <c:v>820000000</c:v>
                </c:pt>
              </c:numCache>
            </c:numRef>
          </c:val>
          <c:extLst>
            <c:ext xmlns:c16="http://schemas.microsoft.com/office/drawing/2014/chart" uri="{C3380CC4-5D6E-409C-BE32-E72D297353CC}">
              <c16:uniqueId val="{00000006-060E-47ED-A3C0-0A6C0BBD04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6350" cap="flat" cmpd="sng" algn="ctr">
      <a:solidFill>
        <a:schemeClr val="dk1"/>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793750</xdr:colOff>
      <xdr:row>0</xdr:row>
      <xdr:rowOff>107950</xdr:rowOff>
    </xdr:from>
    <xdr:to>
      <xdr:col>4</xdr:col>
      <xdr:colOff>1104900</xdr:colOff>
      <xdr:row>2</xdr:row>
      <xdr:rowOff>165100</xdr:rowOff>
    </xdr:to>
    <xdr:sp macro="" textlink="">
      <xdr:nvSpPr>
        <xdr:cNvPr id="4" name="Rectangle 3">
          <a:extLst>
            <a:ext uri="{FF2B5EF4-FFF2-40B4-BE49-F238E27FC236}">
              <a16:creationId xmlns:a16="http://schemas.microsoft.com/office/drawing/2014/main" id="{1D84F6C0-5856-69E3-2EF8-CA71182DEFB2}"/>
            </a:ext>
          </a:extLst>
        </xdr:cNvPr>
        <xdr:cNvSpPr/>
      </xdr:nvSpPr>
      <xdr:spPr>
        <a:xfrm>
          <a:off x="5289550" y="107950"/>
          <a:ext cx="2343150" cy="450850"/>
        </a:xfrm>
        <a:prstGeom prst="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en-US" sz="2000" b="1" cap="none" spc="0">
              <a:ln w="22225">
                <a:noFill/>
                <a:prstDash val="solid"/>
              </a:ln>
              <a:solidFill>
                <a:schemeClr val="bg1"/>
              </a:solidFill>
              <a:effectLst/>
            </a:rPr>
            <a:t>GENRE</a:t>
          </a:r>
          <a:r>
            <a:rPr lang="en-US" sz="2000" b="1" cap="none" spc="0" baseline="0">
              <a:ln w="22225">
                <a:noFill/>
                <a:prstDash val="solid"/>
              </a:ln>
              <a:solidFill>
                <a:schemeClr val="bg1"/>
              </a:solidFill>
              <a:effectLst/>
            </a:rPr>
            <a:t> ANALYSIS</a:t>
          </a:r>
          <a:endParaRPr lang="en-US" sz="2000" b="1" cap="none" spc="0">
            <a:ln w="22225">
              <a:noFill/>
              <a:prstDash val="solid"/>
            </a:ln>
            <a:solidFill>
              <a:schemeClr val="bg1"/>
            </a:solidFill>
            <a:effectLst/>
          </a:endParaRPr>
        </a:p>
      </xdr:txBody>
    </xdr:sp>
    <xdr:clientData/>
  </xdr:twoCellAnchor>
  <xdr:twoCellAnchor>
    <xdr:from>
      <xdr:col>2</xdr:col>
      <xdr:colOff>25400</xdr:colOff>
      <xdr:row>4</xdr:row>
      <xdr:rowOff>19050</xdr:rowOff>
    </xdr:from>
    <xdr:to>
      <xdr:col>4</xdr:col>
      <xdr:colOff>457200</xdr:colOff>
      <xdr:row>7</xdr:row>
      <xdr:rowOff>69850</xdr:rowOff>
    </xdr:to>
    <xdr:sp macro="" textlink="">
      <xdr:nvSpPr>
        <xdr:cNvPr id="13" name="Rectangle: Rounded Corners 12">
          <a:extLst>
            <a:ext uri="{FF2B5EF4-FFF2-40B4-BE49-F238E27FC236}">
              <a16:creationId xmlns:a16="http://schemas.microsoft.com/office/drawing/2014/main" id="{3EC0ECB5-67BC-7D37-E4B8-C37ADB7DF496}"/>
            </a:ext>
          </a:extLst>
        </xdr:cNvPr>
        <xdr:cNvSpPr/>
      </xdr:nvSpPr>
      <xdr:spPr>
        <a:xfrm>
          <a:off x="2965450" y="806450"/>
          <a:ext cx="3130550" cy="641350"/>
        </a:xfrm>
        <a:prstGeom prst="roundRect">
          <a:avLst/>
        </a:prstGeom>
        <a:ln w="3175"/>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US" sz="1100"/>
        </a:p>
      </xdr:txBody>
    </xdr:sp>
    <xdr:clientData/>
  </xdr:twoCellAnchor>
  <xdr:twoCellAnchor>
    <xdr:from>
      <xdr:col>2</xdr:col>
      <xdr:colOff>82550</xdr:colOff>
      <xdr:row>4</xdr:row>
      <xdr:rowOff>76200</xdr:rowOff>
    </xdr:from>
    <xdr:to>
      <xdr:col>3</xdr:col>
      <xdr:colOff>311150</xdr:colOff>
      <xdr:row>5</xdr:row>
      <xdr:rowOff>171450</xdr:rowOff>
    </xdr:to>
    <xdr:sp macro="" textlink="">
      <xdr:nvSpPr>
        <xdr:cNvPr id="14" name="TextBox 13">
          <a:extLst>
            <a:ext uri="{FF2B5EF4-FFF2-40B4-BE49-F238E27FC236}">
              <a16:creationId xmlns:a16="http://schemas.microsoft.com/office/drawing/2014/main" id="{AEC0F8FB-6AB1-7F2B-4D99-C68A8B17DCD1}"/>
            </a:ext>
          </a:extLst>
        </xdr:cNvPr>
        <xdr:cNvSpPr txBox="1"/>
      </xdr:nvSpPr>
      <xdr:spPr>
        <a:xfrm>
          <a:off x="3022600" y="863600"/>
          <a:ext cx="11430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Best</a:t>
          </a:r>
          <a:r>
            <a:rPr lang="en-US" sz="1000" b="1" baseline="0"/>
            <a:t> Movie</a:t>
          </a:r>
        </a:p>
      </xdr:txBody>
    </xdr:sp>
    <xdr:clientData/>
  </xdr:twoCellAnchor>
  <xdr:twoCellAnchor>
    <xdr:from>
      <xdr:col>2</xdr:col>
      <xdr:colOff>63500</xdr:colOff>
      <xdr:row>5</xdr:row>
      <xdr:rowOff>50800</xdr:rowOff>
    </xdr:from>
    <xdr:to>
      <xdr:col>3</xdr:col>
      <xdr:colOff>292100</xdr:colOff>
      <xdr:row>6</xdr:row>
      <xdr:rowOff>146050</xdr:rowOff>
    </xdr:to>
    <xdr:sp macro="" textlink="">
      <xdr:nvSpPr>
        <xdr:cNvPr id="15" name="TextBox 14">
          <a:extLst>
            <a:ext uri="{FF2B5EF4-FFF2-40B4-BE49-F238E27FC236}">
              <a16:creationId xmlns:a16="http://schemas.microsoft.com/office/drawing/2014/main" id="{AF95944A-AD34-4F34-8297-5F9DF3490C46}"/>
            </a:ext>
          </a:extLst>
        </xdr:cNvPr>
        <xdr:cNvSpPr txBox="1"/>
      </xdr:nvSpPr>
      <xdr:spPr>
        <a:xfrm>
          <a:off x="3003550" y="1035050"/>
          <a:ext cx="11430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Avatar</a:t>
          </a:r>
          <a:endParaRPr lang="en-US" sz="1800" b="1" baseline="0"/>
        </a:p>
      </xdr:txBody>
    </xdr:sp>
    <xdr:clientData/>
  </xdr:twoCellAnchor>
  <xdr:twoCellAnchor>
    <xdr:from>
      <xdr:col>3</xdr:col>
      <xdr:colOff>514350</xdr:colOff>
      <xdr:row>4</xdr:row>
      <xdr:rowOff>76200</xdr:rowOff>
    </xdr:from>
    <xdr:to>
      <xdr:col>3</xdr:col>
      <xdr:colOff>1657350</xdr:colOff>
      <xdr:row>5</xdr:row>
      <xdr:rowOff>171450</xdr:rowOff>
    </xdr:to>
    <xdr:sp macro="" textlink="">
      <xdr:nvSpPr>
        <xdr:cNvPr id="16" name="TextBox 15">
          <a:extLst>
            <a:ext uri="{FF2B5EF4-FFF2-40B4-BE49-F238E27FC236}">
              <a16:creationId xmlns:a16="http://schemas.microsoft.com/office/drawing/2014/main" id="{4496D801-3014-4EB0-AC0D-D785345A1B8E}"/>
            </a:ext>
          </a:extLst>
        </xdr:cNvPr>
        <xdr:cNvSpPr txBox="1"/>
      </xdr:nvSpPr>
      <xdr:spPr>
        <a:xfrm>
          <a:off x="4368800" y="863600"/>
          <a:ext cx="11430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t>Collection</a:t>
          </a:r>
        </a:p>
      </xdr:txBody>
    </xdr:sp>
    <xdr:clientData/>
  </xdr:twoCellAnchor>
  <xdr:twoCellAnchor>
    <xdr:from>
      <xdr:col>3</xdr:col>
      <xdr:colOff>412750</xdr:colOff>
      <xdr:row>5</xdr:row>
      <xdr:rowOff>57150</xdr:rowOff>
    </xdr:from>
    <xdr:to>
      <xdr:col>4</xdr:col>
      <xdr:colOff>63500</xdr:colOff>
      <xdr:row>6</xdr:row>
      <xdr:rowOff>152400</xdr:rowOff>
    </xdr:to>
    <xdr:sp macro="" textlink="">
      <xdr:nvSpPr>
        <xdr:cNvPr id="18" name="TextBox 17">
          <a:extLst>
            <a:ext uri="{FF2B5EF4-FFF2-40B4-BE49-F238E27FC236}">
              <a16:creationId xmlns:a16="http://schemas.microsoft.com/office/drawing/2014/main" id="{957E5F7E-C12F-48B1-B1A6-5B80432144E9}"/>
            </a:ext>
          </a:extLst>
        </xdr:cNvPr>
        <xdr:cNvSpPr txBox="1"/>
      </xdr:nvSpPr>
      <xdr:spPr>
        <a:xfrm>
          <a:off x="4267200" y="1041400"/>
          <a:ext cx="14351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2783918982 </a:t>
          </a:r>
          <a:endParaRPr lang="en-US" sz="1800" b="1" baseline="0"/>
        </a:p>
      </xdr:txBody>
    </xdr:sp>
    <xdr:clientData/>
  </xdr:twoCellAnchor>
  <xdr:twoCellAnchor>
    <xdr:from>
      <xdr:col>1</xdr:col>
      <xdr:colOff>31750</xdr:colOff>
      <xdr:row>19</xdr:row>
      <xdr:rowOff>127000</xdr:rowOff>
    </xdr:from>
    <xdr:to>
      <xdr:col>3</xdr:col>
      <xdr:colOff>1460500</xdr:colOff>
      <xdr:row>30</xdr:row>
      <xdr:rowOff>76200</xdr:rowOff>
    </xdr:to>
    <xdr:graphicFrame macro="">
      <xdr:nvGraphicFramePr>
        <xdr:cNvPr id="21" name="Chart 20">
          <a:extLst>
            <a:ext uri="{FF2B5EF4-FFF2-40B4-BE49-F238E27FC236}">
              <a16:creationId xmlns:a16="http://schemas.microsoft.com/office/drawing/2014/main" id="{930BBC0B-5BA6-49FB-8198-741723031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1593850</xdr:colOff>
      <xdr:row>19</xdr:row>
      <xdr:rowOff>114300</xdr:rowOff>
    </xdr:from>
    <xdr:to>
      <xdr:col>6</xdr:col>
      <xdr:colOff>25400</xdr:colOff>
      <xdr:row>30</xdr:row>
      <xdr:rowOff>95250</xdr:rowOff>
    </xdr:to>
    <xdr:graphicFrame macro="">
      <xdr:nvGraphicFramePr>
        <xdr:cNvPr id="22" name="Chart 21">
          <a:extLst>
            <a:ext uri="{FF2B5EF4-FFF2-40B4-BE49-F238E27FC236}">
              <a16:creationId xmlns:a16="http://schemas.microsoft.com/office/drawing/2014/main" id="{F4104244-E346-4AD7-BF7A-4B9FC6CBD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103661</xdr:colOff>
      <xdr:row>4</xdr:row>
      <xdr:rowOff>22101</xdr:rowOff>
    </xdr:from>
    <xdr:to>
      <xdr:col>1</xdr:col>
      <xdr:colOff>1932461</xdr:colOff>
      <xdr:row>19</xdr:row>
      <xdr:rowOff>16494</xdr:rowOff>
    </xdr:to>
    <mc:AlternateContent xmlns:mc="http://schemas.openxmlformats.org/markup-compatibility/2006">
      <mc:Choice xmlns:a14="http://schemas.microsoft.com/office/drawing/2010/main" Requires="a14">
        <xdr:graphicFrame macro="">
          <xdr:nvGraphicFramePr>
            <xdr:cNvPr id="27" name="Year Produced">
              <a:extLst>
                <a:ext uri="{FF2B5EF4-FFF2-40B4-BE49-F238E27FC236}">
                  <a16:creationId xmlns:a16="http://schemas.microsoft.com/office/drawing/2014/main" id="{8811B1A2-18FF-0722-13AF-85A349A737B2}"/>
                </a:ext>
              </a:extLst>
            </xdr:cNvPr>
            <xdr:cNvGraphicFramePr/>
          </xdr:nvGraphicFramePr>
          <xdr:xfrm>
            <a:off x="0" y="0"/>
            <a:ext cx="0" cy="0"/>
          </xdr:xfrm>
          <a:graphic>
            <a:graphicData uri="http://schemas.microsoft.com/office/drawing/2010/slicer">
              <sle:slicer xmlns:sle="http://schemas.microsoft.com/office/drawing/2010/slicer" name="Year Produced"/>
            </a:graphicData>
          </a:graphic>
        </xdr:graphicFrame>
      </mc:Choice>
      <mc:Fallback>
        <xdr:sp macro="" textlink="">
          <xdr:nvSpPr>
            <xdr:cNvPr id="0" name=""/>
            <xdr:cNvSpPr>
              <a:spLocks noTextEdit="1"/>
            </xdr:cNvSpPr>
          </xdr:nvSpPr>
          <xdr:spPr>
            <a:xfrm>
              <a:off x="1019051" y="813789"/>
              <a:ext cx="1828800" cy="2963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85725</xdr:rowOff>
    </xdr:from>
    <xdr:to>
      <xdr:col>2</xdr:col>
      <xdr:colOff>1733550</xdr:colOff>
      <xdr:row>20</xdr:row>
      <xdr:rowOff>73025</xdr:rowOff>
    </xdr:to>
    <xdr:graphicFrame macro="">
      <xdr:nvGraphicFramePr>
        <xdr:cNvPr id="2" name="Chart 2">
          <a:extLst>
            <a:ext uri="{FF2B5EF4-FFF2-40B4-BE49-F238E27FC236}">
              <a16:creationId xmlns:a16="http://schemas.microsoft.com/office/drawing/2014/main" id="{FCECBF00-B273-584C-85D6-9F412862C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352425</xdr:colOff>
      <xdr:row>13</xdr:row>
      <xdr:rowOff>88900</xdr:rowOff>
    </xdr:from>
    <xdr:to>
      <xdr:col>5</xdr:col>
      <xdr:colOff>1781175</xdr:colOff>
      <xdr:row>27</xdr:row>
      <xdr:rowOff>76200</xdr:rowOff>
    </xdr:to>
    <xdr:graphicFrame macro="">
      <xdr:nvGraphicFramePr>
        <xdr:cNvPr id="4" name="Chart 3">
          <a:extLst>
            <a:ext uri="{FF2B5EF4-FFF2-40B4-BE49-F238E27FC236}">
              <a16:creationId xmlns:a16="http://schemas.microsoft.com/office/drawing/2014/main" id="{C2111ED5-C89D-ECCA-3140-8435CBCDB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403225</xdr:colOff>
      <xdr:row>651</xdr:row>
      <xdr:rowOff>174625</xdr:rowOff>
    </xdr:from>
    <xdr:to>
      <xdr:col>4</xdr:col>
      <xdr:colOff>911225</xdr:colOff>
      <xdr:row>665</xdr:row>
      <xdr:rowOff>161925</xdr:rowOff>
    </xdr:to>
    <xdr:graphicFrame macro="">
      <xdr:nvGraphicFramePr>
        <xdr:cNvPr id="6" name="Chart 5">
          <a:extLst>
            <a:ext uri="{FF2B5EF4-FFF2-40B4-BE49-F238E27FC236}">
              <a16:creationId xmlns:a16="http://schemas.microsoft.com/office/drawing/2014/main" id="{BEF64735-2D62-06D0-2B76-CCECF616F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854075</xdr:colOff>
      <xdr:row>670</xdr:row>
      <xdr:rowOff>15875</xdr:rowOff>
    </xdr:from>
    <xdr:to>
      <xdr:col>4</xdr:col>
      <xdr:colOff>374650</xdr:colOff>
      <xdr:row>679</xdr:row>
      <xdr:rowOff>6350</xdr:rowOff>
    </xdr:to>
    <xdr:graphicFrame macro="">
      <xdr:nvGraphicFramePr>
        <xdr:cNvPr id="7" name="Chart 6">
          <a:extLst>
            <a:ext uri="{FF2B5EF4-FFF2-40B4-BE49-F238E27FC236}">
              <a16:creationId xmlns:a16="http://schemas.microsoft.com/office/drawing/2014/main" id="{AAB5084C-20A3-425D-16E2-957F36050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666</xdr:row>
      <xdr:rowOff>47625</xdr:rowOff>
    </xdr:from>
    <xdr:to>
      <xdr:col>6</xdr:col>
      <xdr:colOff>1720850</xdr:colOff>
      <xdr:row>680</xdr:row>
      <xdr:rowOff>34925</xdr:rowOff>
    </xdr:to>
    <xdr:graphicFrame macro="">
      <xdr:nvGraphicFramePr>
        <xdr:cNvPr id="8" name="Chart 7">
          <a:extLst>
            <a:ext uri="{FF2B5EF4-FFF2-40B4-BE49-F238E27FC236}">
              <a16:creationId xmlns:a16="http://schemas.microsoft.com/office/drawing/2014/main" id="{6B2B0479-C140-866C-955C-D374B67DE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323850</xdr:colOff>
      <xdr:row>666</xdr:row>
      <xdr:rowOff>180975</xdr:rowOff>
    </xdr:from>
    <xdr:to>
      <xdr:col>31</xdr:col>
      <xdr:colOff>190500</xdr:colOff>
      <xdr:row>680</xdr:row>
      <xdr:rowOff>168275</xdr:rowOff>
    </xdr:to>
    <xdr:graphicFrame macro="">
      <xdr:nvGraphicFramePr>
        <xdr:cNvPr id="9" name="Chart 8">
          <a:extLst>
            <a:ext uri="{FF2B5EF4-FFF2-40B4-BE49-F238E27FC236}">
              <a16:creationId xmlns:a16="http://schemas.microsoft.com/office/drawing/2014/main" id="{A3C65B39-BA79-7315-B77E-1F013C43E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279400</xdr:colOff>
      <xdr:row>619</xdr:row>
      <xdr:rowOff>6350</xdr:rowOff>
    </xdr:from>
    <xdr:to>
      <xdr:col>9</xdr:col>
      <xdr:colOff>298450</xdr:colOff>
      <xdr:row>632</xdr:row>
      <xdr:rowOff>161919</xdr:rowOff>
    </xdr:to>
    <mc:AlternateContent xmlns:mc="http://schemas.openxmlformats.org/markup-compatibility/2006">
      <mc:Choice xmlns:a14="http://schemas.microsoft.com/office/drawing/2010/main" Requires="a14">
        <xdr:graphicFrame macro="">
          <xdr:nvGraphicFramePr>
            <xdr:cNvPr id="10" name="Year Produced 1">
              <a:extLst>
                <a:ext uri="{FF2B5EF4-FFF2-40B4-BE49-F238E27FC236}">
                  <a16:creationId xmlns:a16="http://schemas.microsoft.com/office/drawing/2014/main" id="{8F49449D-6E0A-8222-E4A6-1356F5472735}"/>
                </a:ext>
              </a:extLst>
            </xdr:cNvPr>
            <xdr:cNvGraphicFramePr/>
          </xdr:nvGraphicFramePr>
          <xdr:xfrm>
            <a:off x="0" y="0"/>
            <a:ext cx="0" cy="0"/>
          </xdr:xfrm>
          <a:graphic>
            <a:graphicData uri="http://schemas.microsoft.com/office/drawing/2010/slicer">
              <sle:slicer xmlns:sle="http://schemas.microsoft.com/office/drawing/2010/slicer" name="Year Produced 1"/>
            </a:graphicData>
          </a:graphic>
        </xdr:graphicFrame>
      </mc:Choice>
      <mc:Fallback>
        <xdr:sp macro="" textlink="">
          <xdr:nvSpPr>
            <xdr:cNvPr id="0" name=""/>
            <xdr:cNvSpPr>
              <a:spLocks noTextEdit="1"/>
            </xdr:cNvSpPr>
          </xdr:nvSpPr>
          <xdr:spPr>
            <a:xfrm>
              <a:off x="12357100" y="1218565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285750</xdr:colOff>
      <xdr:row>0</xdr:row>
      <xdr:rowOff>107950</xdr:rowOff>
    </xdr:from>
    <xdr:to>
      <xdr:col>9</xdr:col>
      <xdr:colOff>35379</xdr:colOff>
      <xdr:row>2</xdr:row>
      <xdr:rowOff>167244</xdr:rowOff>
    </xdr:to>
    <xdr:sp macro="" textlink="">
      <xdr:nvSpPr>
        <xdr:cNvPr id="2" name="Rectangle 1">
          <a:extLst>
            <a:ext uri="{FF2B5EF4-FFF2-40B4-BE49-F238E27FC236}">
              <a16:creationId xmlns:a16="http://schemas.microsoft.com/office/drawing/2014/main" id="{E6FB6C03-31D7-4ADA-A14F-CDE596E50B08}"/>
            </a:ext>
          </a:extLst>
        </xdr:cNvPr>
        <xdr:cNvSpPr/>
      </xdr:nvSpPr>
      <xdr:spPr>
        <a:xfrm>
          <a:off x="6902450" y="107950"/>
          <a:ext cx="2397579" cy="452994"/>
        </a:xfrm>
        <a:prstGeom prst="rect">
          <a:avLst/>
        </a:prstGeom>
        <a:solidFill>
          <a:schemeClr val="accent6">
            <a:lumMod val="20000"/>
            <a:lumOff val="80000"/>
          </a:schemeClr>
        </a:solidFill>
        <a:ln w="317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rtlCol="0" anchor="ctr"/>
        <a:lstStyle/>
        <a:p>
          <a:pPr algn="ctr"/>
          <a:r>
            <a:rPr lang="en-US" sz="2000" b="0" cap="none" spc="0">
              <a:ln w="0"/>
              <a:solidFill>
                <a:schemeClr val="tx1"/>
              </a:solidFill>
              <a:effectLst>
                <a:outerShdw blurRad="38100" dist="19050" dir="2700000" algn="tl" rotWithShape="0">
                  <a:schemeClr val="dk1">
                    <a:alpha val="40000"/>
                  </a:schemeClr>
                </a:outerShdw>
              </a:effectLst>
            </a:rPr>
            <a:t>Actor</a:t>
          </a:r>
          <a:r>
            <a:rPr lang="en-US" sz="2000" b="0" cap="none" spc="0" baseline="0">
              <a:ln w="0"/>
              <a:solidFill>
                <a:schemeClr val="tx1"/>
              </a:solidFill>
              <a:effectLst>
                <a:outerShdw blurRad="38100" dist="19050" dir="2700000" algn="tl" rotWithShape="0">
                  <a:schemeClr val="dk1">
                    <a:alpha val="40000"/>
                  </a:schemeClr>
                </a:outerShdw>
              </a:effectLst>
            </a:rPr>
            <a:t> ANALYSIS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641350</xdr:colOff>
      <xdr:row>3</xdr:row>
      <xdr:rowOff>69851</xdr:rowOff>
    </xdr:from>
    <xdr:to>
      <xdr:col>7</xdr:col>
      <xdr:colOff>190500</xdr:colOff>
      <xdr:row>7</xdr:row>
      <xdr:rowOff>127001</xdr:rowOff>
    </xdr:to>
    <xdr:sp macro="" textlink="">
      <xdr:nvSpPr>
        <xdr:cNvPr id="3" name="Rectangle: Rounded Corners 2">
          <a:extLst>
            <a:ext uri="{FF2B5EF4-FFF2-40B4-BE49-F238E27FC236}">
              <a16:creationId xmlns:a16="http://schemas.microsoft.com/office/drawing/2014/main" id="{EEDB2F31-A27B-4E8A-8D61-9CF398C34DA3}"/>
            </a:ext>
          </a:extLst>
        </xdr:cNvPr>
        <xdr:cNvSpPr/>
      </xdr:nvSpPr>
      <xdr:spPr>
        <a:xfrm>
          <a:off x="3282950" y="660401"/>
          <a:ext cx="3524250" cy="844550"/>
        </a:xfrm>
        <a:prstGeom prst="roundRect">
          <a:avLst/>
        </a:prstGeom>
        <a:ln w="3175">
          <a:solidFill>
            <a:sysClr val="windowText" lastClr="000000"/>
          </a:solidFill>
        </a:ln>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US" sz="1100"/>
        </a:p>
      </xdr:txBody>
    </xdr:sp>
    <xdr:clientData/>
  </xdr:twoCellAnchor>
  <xdr:twoCellAnchor>
    <xdr:from>
      <xdr:col>5</xdr:col>
      <xdr:colOff>69850</xdr:colOff>
      <xdr:row>3</xdr:row>
      <xdr:rowOff>120650</xdr:rowOff>
    </xdr:from>
    <xdr:to>
      <xdr:col>6</xdr:col>
      <xdr:colOff>620733</xdr:colOff>
      <xdr:row>5</xdr:row>
      <xdr:rowOff>20122</xdr:rowOff>
    </xdr:to>
    <xdr:sp macro="" textlink="">
      <xdr:nvSpPr>
        <xdr:cNvPr id="4" name="TextBox 3">
          <a:extLst>
            <a:ext uri="{FF2B5EF4-FFF2-40B4-BE49-F238E27FC236}">
              <a16:creationId xmlns:a16="http://schemas.microsoft.com/office/drawing/2014/main" id="{9DD76640-5EFA-445D-B19D-89CEDB49D8BB}"/>
            </a:ext>
          </a:extLst>
        </xdr:cNvPr>
        <xdr:cNvSpPr txBox="1"/>
      </xdr:nvSpPr>
      <xdr:spPr>
        <a:xfrm>
          <a:off x="3371850" y="711200"/>
          <a:ext cx="1795483" cy="293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Best</a:t>
          </a:r>
          <a:r>
            <a:rPr lang="en-US" sz="1000" b="1" baseline="0"/>
            <a:t> Actor</a:t>
          </a:r>
        </a:p>
      </xdr:txBody>
    </xdr:sp>
    <xdr:clientData/>
  </xdr:twoCellAnchor>
  <xdr:twoCellAnchor>
    <xdr:from>
      <xdr:col>5</xdr:col>
      <xdr:colOff>44450</xdr:colOff>
      <xdr:row>4</xdr:row>
      <xdr:rowOff>146050</xdr:rowOff>
    </xdr:from>
    <xdr:to>
      <xdr:col>6</xdr:col>
      <xdr:colOff>595333</xdr:colOff>
      <xdr:row>7</xdr:row>
      <xdr:rowOff>0</xdr:rowOff>
    </xdr:to>
    <xdr:sp macro="" textlink="">
      <xdr:nvSpPr>
        <xdr:cNvPr id="5" name="TextBox 4">
          <a:extLst>
            <a:ext uri="{FF2B5EF4-FFF2-40B4-BE49-F238E27FC236}">
              <a16:creationId xmlns:a16="http://schemas.microsoft.com/office/drawing/2014/main" id="{5C2AB65C-B81B-4853-B2FA-5A6476866748}"/>
            </a:ext>
          </a:extLst>
        </xdr:cNvPr>
        <xdr:cNvSpPr txBox="1"/>
      </xdr:nvSpPr>
      <xdr:spPr>
        <a:xfrm>
          <a:off x="3346450" y="933450"/>
          <a:ext cx="1795483"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t>Tom Cruise</a:t>
          </a:r>
        </a:p>
      </xdr:txBody>
    </xdr:sp>
    <xdr:clientData/>
  </xdr:twoCellAnchor>
  <xdr:twoCellAnchor>
    <xdr:from>
      <xdr:col>6</xdr:col>
      <xdr:colOff>171450</xdr:colOff>
      <xdr:row>3</xdr:row>
      <xdr:rowOff>114300</xdr:rowOff>
    </xdr:from>
    <xdr:to>
      <xdr:col>6</xdr:col>
      <xdr:colOff>1966933</xdr:colOff>
      <xdr:row>5</xdr:row>
      <xdr:rowOff>13772</xdr:rowOff>
    </xdr:to>
    <xdr:sp macro="" textlink="">
      <xdr:nvSpPr>
        <xdr:cNvPr id="6" name="TextBox 5">
          <a:extLst>
            <a:ext uri="{FF2B5EF4-FFF2-40B4-BE49-F238E27FC236}">
              <a16:creationId xmlns:a16="http://schemas.microsoft.com/office/drawing/2014/main" id="{E1A863DD-7653-4D85-B729-56D72B53FFCD}"/>
            </a:ext>
          </a:extLst>
        </xdr:cNvPr>
        <xdr:cNvSpPr txBox="1"/>
      </xdr:nvSpPr>
      <xdr:spPr>
        <a:xfrm>
          <a:off x="4718050" y="704850"/>
          <a:ext cx="1795483" cy="293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t>Int. Collection</a:t>
          </a:r>
        </a:p>
      </xdr:txBody>
    </xdr:sp>
    <xdr:clientData/>
  </xdr:twoCellAnchor>
  <xdr:twoCellAnchor>
    <xdr:from>
      <xdr:col>6</xdr:col>
      <xdr:colOff>146050</xdr:colOff>
      <xdr:row>4</xdr:row>
      <xdr:rowOff>152400</xdr:rowOff>
    </xdr:from>
    <xdr:to>
      <xdr:col>6</xdr:col>
      <xdr:colOff>1941533</xdr:colOff>
      <xdr:row>7</xdr:row>
      <xdr:rowOff>12700</xdr:rowOff>
    </xdr:to>
    <xdr:sp macro="" textlink="">
      <xdr:nvSpPr>
        <xdr:cNvPr id="7" name="TextBox 6">
          <a:extLst>
            <a:ext uri="{FF2B5EF4-FFF2-40B4-BE49-F238E27FC236}">
              <a16:creationId xmlns:a16="http://schemas.microsoft.com/office/drawing/2014/main" id="{B69770F4-85B6-46E5-85B5-356A84724290}"/>
            </a:ext>
          </a:extLst>
        </xdr:cNvPr>
        <xdr:cNvSpPr txBox="1"/>
      </xdr:nvSpPr>
      <xdr:spPr>
        <a:xfrm>
          <a:off x="4692650" y="939800"/>
          <a:ext cx="1795483" cy="450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dk1"/>
              </a:solidFill>
              <a:latin typeface="+mn-lt"/>
              <a:ea typeface="+mn-ea"/>
              <a:cs typeface="+mn-cs"/>
            </a:rPr>
            <a:t>3506760977 </a:t>
          </a:r>
        </a:p>
      </xdr:txBody>
    </xdr:sp>
    <xdr:clientData/>
  </xdr:twoCellAnchor>
  <xdr:twoCellAnchor>
    <xdr:from>
      <xdr:col>8</xdr:col>
      <xdr:colOff>127000</xdr:colOff>
      <xdr:row>8</xdr:row>
      <xdr:rowOff>120650</xdr:rowOff>
    </xdr:from>
    <xdr:to>
      <xdr:col>16</xdr:col>
      <xdr:colOff>279400</xdr:colOff>
      <xdr:row>19</xdr:row>
      <xdr:rowOff>38100</xdr:rowOff>
    </xdr:to>
    <xdr:graphicFrame macro="">
      <xdr:nvGraphicFramePr>
        <xdr:cNvPr id="8" name="Chart 7">
          <a:extLst>
            <a:ext uri="{FF2B5EF4-FFF2-40B4-BE49-F238E27FC236}">
              <a16:creationId xmlns:a16="http://schemas.microsoft.com/office/drawing/2014/main" id="{2D589060-5B8A-44EE-8C54-352262FD8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120650</xdr:colOff>
      <xdr:row>19</xdr:row>
      <xdr:rowOff>88900</xdr:rowOff>
    </xdr:from>
    <xdr:to>
      <xdr:col>16</xdr:col>
      <xdr:colOff>285750</xdr:colOff>
      <xdr:row>27</xdr:row>
      <xdr:rowOff>6349</xdr:rowOff>
    </xdr:to>
    <xdr:graphicFrame macro="">
      <xdr:nvGraphicFramePr>
        <xdr:cNvPr id="9" name="Chart 8">
          <a:extLst>
            <a:ext uri="{FF2B5EF4-FFF2-40B4-BE49-F238E27FC236}">
              <a16:creationId xmlns:a16="http://schemas.microsoft.com/office/drawing/2014/main" id="{8B3C0FEB-8081-4959-A1B6-E4EA0672D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628650</xdr:colOff>
      <xdr:row>7</xdr:row>
      <xdr:rowOff>165099</xdr:rowOff>
    </xdr:from>
    <xdr:to>
      <xdr:col>8</xdr:col>
      <xdr:colOff>69850</xdr:colOff>
      <xdr:row>9</xdr:row>
      <xdr:rowOff>158750</xdr:rowOff>
    </xdr:to>
    <xdr:sp macro="" textlink="">
      <xdr:nvSpPr>
        <xdr:cNvPr id="10" name="Rectangle: Rounded Corners 9">
          <a:extLst>
            <a:ext uri="{FF2B5EF4-FFF2-40B4-BE49-F238E27FC236}">
              <a16:creationId xmlns:a16="http://schemas.microsoft.com/office/drawing/2014/main" id="{5B356C13-D56D-4C6C-81EA-B40674E1A947}"/>
            </a:ext>
          </a:extLst>
        </xdr:cNvPr>
        <xdr:cNvSpPr/>
      </xdr:nvSpPr>
      <xdr:spPr>
        <a:xfrm>
          <a:off x="3270250" y="1543049"/>
          <a:ext cx="5403850" cy="387351"/>
        </a:xfrm>
        <a:prstGeom prst="roundRect">
          <a:avLst/>
        </a:prstGeom>
        <a:ln w="3175">
          <a:solidFill>
            <a:sysClr val="windowText" lastClr="000000"/>
          </a:solidFill>
        </a:ln>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US"/>
        </a:p>
      </xdr:txBody>
    </xdr:sp>
    <xdr:clientData/>
  </xdr:twoCellAnchor>
  <xdr:twoCellAnchor>
    <xdr:from>
      <xdr:col>5</xdr:col>
      <xdr:colOff>165100</xdr:colOff>
      <xdr:row>8</xdr:row>
      <xdr:rowOff>25400</xdr:rowOff>
    </xdr:from>
    <xdr:to>
      <xdr:col>6</xdr:col>
      <xdr:colOff>1485900</xdr:colOff>
      <xdr:row>9</xdr:row>
      <xdr:rowOff>121722</xdr:rowOff>
    </xdr:to>
    <xdr:sp macro="" textlink="">
      <xdr:nvSpPr>
        <xdr:cNvPr id="11" name="TextBox 10">
          <a:extLst>
            <a:ext uri="{FF2B5EF4-FFF2-40B4-BE49-F238E27FC236}">
              <a16:creationId xmlns:a16="http://schemas.microsoft.com/office/drawing/2014/main" id="{84FA7047-FF25-4AB7-BF7E-9C0739D3C1FB}"/>
            </a:ext>
          </a:extLst>
        </xdr:cNvPr>
        <xdr:cNvSpPr txBox="1"/>
      </xdr:nvSpPr>
      <xdr:spPr>
        <a:xfrm>
          <a:off x="3467100" y="1600200"/>
          <a:ext cx="2565400" cy="293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Most Best</a:t>
          </a:r>
          <a:r>
            <a:rPr lang="en-US" sz="1200" b="1" baseline="0"/>
            <a:t> Picture Winner</a:t>
          </a:r>
        </a:p>
      </xdr:txBody>
    </xdr:sp>
    <xdr:clientData/>
  </xdr:twoCellAnchor>
  <xdr:twoCellAnchor>
    <xdr:from>
      <xdr:col>6</xdr:col>
      <xdr:colOff>1549400</xdr:colOff>
      <xdr:row>8</xdr:row>
      <xdr:rowOff>19050</xdr:rowOff>
    </xdr:from>
    <xdr:to>
      <xdr:col>8</xdr:col>
      <xdr:colOff>57150</xdr:colOff>
      <xdr:row>9</xdr:row>
      <xdr:rowOff>115372</xdr:rowOff>
    </xdr:to>
    <xdr:sp macro="" textlink="">
      <xdr:nvSpPr>
        <xdr:cNvPr id="12" name="TextBox 11">
          <a:extLst>
            <a:ext uri="{FF2B5EF4-FFF2-40B4-BE49-F238E27FC236}">
              <a16:creationId xmlns:a16="http://schemas.microsoft.com/office/drawing/2014/main" id="{BCC630D8-AC43-4744-B240-E345D0B2A8AE}"/>
            </a:ext>
          </a:extLst>
        </xdr:cNvPr>
        <xdr:cNvSpPr txBox="1"/>
      </xdr:nvSpPr>
      <xdr:spPr>
        <a:xfrm>
          <a:off x="6096000" y="1593850"/>
          <a:ext cx="2565400" cy="293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dk1"/>
              </a:solidFill>
              <a:latin typeface="+mn-lt"/>
              <a:ea typeface="+mn-ea"/>
              <a:cs typeface="+mn-cs"/>
            </a:rPr>
            <a:t>David Patrick O'Hara </a:t>
          </a:r>
        </a:p>
      </xdr:txBody>
    </xdr:sp>
    <xdr:clientData/>
  </xdr:twoCellAnchor>
  <xdr:twoCellAnchor editAs="oneCell">
    <xdr:from>
      <xdr:col>2</xdr:col>
      <xdr:colOff>50800</xdr:colOff>
      <xdr:row>3</xdr:row>
      <xdr:rowOff>57150</xdr:rowOff>
    </xdr:from>
    <xdr:to>
      <xdr:col>4</xdr:col>
      <xdr:colOff>558800</xdr:colOff>
      <xdr:row>27</xdr:row>
      <xdr:rowOff>25400</xdr:rowOff>
    </xdr:to>
    <mc:AlternateContent xmlns:mc="http://schemas.openxmlformats.org/markup-compatibility/2006">
      <mc:Choice xmlns:a14="http://schemas.microsoft.com/office/drawing/2010/main" Requires="a14">
        <xdr:graphicFrame macro="">
          <xdr:nvGraphicFramePr>
            <xdr:cNvPr id="13" name="Year Produced 2">
              <a:extLst>
                <a:ext uri="{FF2B5EF4-FFF2-40B4-BE49-F238E27FC236}">
                  <a16:creationId xmlns:a16="http://schemas.microsoft.com/office/drawing/2014/main" id="{7E1397F9-142E-466B-9236-905D7FCF58F7}"/>
                </a:ext>
              </a:extLst>
            </xdr:cNvPr>
            <xdr:cNvGraphicFramePr/>
          </xdr:nvGraphicFramePr>
          <xdr:xfrm>
            <a:off x="0" y="0"/>
            <a:ext cx="0" cy="0"/>
          </xdr:xfrm>
          <a:graphic>
            <a:graphicData uri="http://schemas.microsoft.com/office/drawing/2010/slicer">
              <sle:slicer xmlns:sle="http://schemas.microsoft.com/office/drawing/2010/slicer" name="Year Produced 2"/>
            </a:graphicData>
          </a:graphic>
        </xdr:graphicFrame>
      </mc:Choice>
      <mc:Fallback>
        <xdr:sp macro="" textlink="">
          <xdr:nvSpPr>
            <xdr:cNvPr id="0" name=""/>
            <xdr:cNvSpPr>
              <a:spLocks noTextEdit="1"/>
            </xdr:cNvSpPr>
          </xdr:nvSpPr>
          <xdr:spPr>
            <a:xfrm>
              <a:off x="1371600" y="647700"/>
              <a:ext cx="1828800" cy="469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fect Computer" refreshedDate="45412.045633680558" createdVersion="8" refreshedVersion="8" minRefreshableVersion="3" recordCount="1000" xr:uid="{54EC8B17-DF7A-445A-8B52-76475E07734D}">
  <cacheSource type="worksheet">
    <worksheetSource ref="A1:L1001" sheet="6-Movie Data"/>
  </cacheSource>
  <cacheFields count="13">
    <cacheField name="Movie ID" numFmtId="0">
      <sharedItems containsSemiMixedTypes="0" containsString="0" containsNumber="1" containsInteger="1" minValue="1" maxValue="1000"/>
    </cacheField>
    <cacheField name="Movie Title" numFmtId="0">
      <sharedItems/>
    </cacheField>
    <cacheField name="Genre Code" numFmtId="1">
      <sharedItems containsSemiMixedTypes="0" containsString="0" containsNumber="1" containsInteger="1" minValue="10" maxValue="90"/>
    </cacheField>
    <cacheField name="Genre" numFmtId="1">
      <sharedItems count="9">
        <s v="Science Fiction"/>
        <s v="Historical Fiction"/>
        <s v="Super Hero"/>
        <s v="Kids Fiction"/>
        <s v="Fantasy"/>
        <s v="Dramatization"/>
        <s v="Contemporary Fiction"/>
        <s v="Factual"/>
        <s v="Multiple Creative Types"/>
      </sharedItems>
    </cacheField>
    <cacheField name="Year Produced" numFmtId="0">
      <sharedItems containsSemiMixedTypes="0" containsString="0" containsNumber="1" containsInteger="1" minValue="1937" maxValue="2016" count="61">
        <n v="2009"/>
        <n v="1997"/>
        <n v="2015"/>
        <n v="2012"/>
        <n v="2008"/>
        <n v="1999"/>
        <n v="1977"/>
        <n v="2004"/>
        <n v="1982"/>
        <n v="2013"/>
        <n v="2006"/>
        <n v="1994"/>
        <n v="2010"/>
        <n v="2011"/>
        <n v="2002"/>
        <n v="1993"/>
        <n v="2003"/>
        <n v="2005"/>
        <n v="2014"/>
        <n v="2007"/>
        <n v="2001"/>
        <n v="1983"/>
        <n v="1996"/>
        <n v="1980"/>
        <n v="1990"/>
        <n v="2000"/>
        <n v="1975"/>
        <n v="1989"/>
        <n v="1981"/>
        <n v="1984"/>
        <n v="1991"/>
        <n v="1998"/>
        <n v="1985"/>
        <n v="1992"/>
        <n v="1973"/>
        <n v="1939"/>
        <n v="1995"/>
        <n v="1937"/>
        <n v="1978"/>
        <n v="1986"/>
        <n v="1988"/>
        <n v="1987"/>
        <n v="1965"/>
        <n v="1961"/>
        <n v="1967"/>
        <n v="1972"/>
        <n v="1974"/>
        <n v="1976"/>
        <n v="1970"/>
        <n v="1942"/>
        <n v="1969"/>
        <n v="1964"/>
        <n v="1979"/>
        <n v="1971"/>
        <n v="1955"/>
        <n v="1953"/>
        <n v="1950"/>
        <n v="1940"/>
        <n v="1956"/>
        <n v="2016"/>
        <n v="1959"/>
      </sharedItems>
    </cacheField>
    <cacheField name="Lead Actor ID" numFmtId="0">
      <sharedItems containsSemiMixedTypes="0" containsString="0" containsNumber="1" containsInteger="1" minValue="10000" maxValue="19300"/>
    </cacheField>
    <cacheField name="Lead Actor" numFmtId="0">
      <sharedItems/>
    </cacheField>
    <cacheField name="Sequel" numFmtId="0">
      <sharedItems/>
    </cacheField>
    <cacheField name="Domestic Box Office" numFmtId="164">
      <sharedItems containsSemiMixedTypes="0" containsString="0" containsNumber="1" containsInteger="1" minValue="69701637" maxValue="760507625"/>
    </cacheField>
    <cacheField name="International Box Office" numFmtId="165">
      <sharedItems containsSemiMixedTypes="0" containsString="0" containsNumber="1" containsInteger="1" minValue="0" maxValue="2023411357"/>
    </cacheField>
    <cacheField name="Best Picture Winner" numFmtId="165">
      <sharedItems containsBlank="1"/>
    </cacheField>
    <cacheField name="Production Budget" numFmtId="165">
      <sharedItems containsSemiMixedTypes="0" containsString="0" containsNumber="1" containsInteger="1" minValue="0" maxValue="425000000"/>
    </cacheField>
    <cacheField name="Total Box Office" numFmtId="0" formula="'Domestic Box Office'+'International Box Office'" databaseField="0"/>
  </cacheFields>
  <extLst>
    <ext xmlns:x14="http://schemas.microsoft.com/office/spreadsheetml/2009/9/main" uri="{725AE2AE-9491-48be-B2B4-4EB974FC3084}">
      <x14:pivotCacheDefinition pivotCacheId="1954706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fect Computer" refreshedDate="45412.924667013889" createdVersion="8" refreshedVersion="8" minRefreshableVersion="3" recordCount="1000" xr:uid="{F5610361-13D2-4902-9DA4-7E3FA2B88155}">
  <cacheSource type="worksheet">
    <worksheetSource name="MovieData"/>
  </cacheSource>
  <cacheFields count="14">
    <cacheField name="Movie ID" numFmtId="0">
      <sharedItems containsSemiMixedTypes="0" containsString="0" containsNumber="1" containsInteger="1" minValue="1" maxValue="1000"/>
    </cacheField>
    <cacheField name="Movie Title" numFmtId="0">
      <sharedItems count="994">
        <s v="Avatar"/>
        <s v="Titanic"/>
        <s v="Jurassic World"/>
        <s v="The Avengers"/>
        <s v="The Dark Knight"/>
        <s v="Star Wars Ep. I: The Phantom Menace"/>
        <s v="Star Wars Ep. IV: A New Hope"/>
        <s v="The Avengers: Age of Ultron"/>
        <s v="The Dark Knight Rises"/>
        <s v="Shrek 2"/>
        <s v="ET: The Extra-Terrestrial"/>
        <s v="The Hunger Games: Catching Fire"/>
        <s v="Pirates of the Caribbean: Dead Man's Chest"/>
        <s v="The Lion King"/>
        <s v="Toy Story 3"/>
        <s v="Iron Man 3"/>
        <s v="The Hunger Games"/>
        <s v="Spider-Man"/>
        <s v="Transformers: Revenge of the Fallen"/>
        <s v="Frozen"/>
        <s v="Jurassic Park"/>
        <s v="Harry Potter and the Deathly Hallows: Part II"/>
        <s v="Finding Nemo"/>
        <s v="Star Wars Ep. III: Revenge of the Sith"/>
        <s v="The Lord of the Rings: The Return of the King"/>
        <s v="Spider-Man 2"/>
        <s v="The Passion of the Christ"/>
        <s v="Despicable Me 2"/>
        <s v="Inside Out"/>
        <s v="Transformers: Dark of the Moon"/>
        <s v="Furious 7"/>
        <s v="American Sniper"/>
        <s v="The Lord of the Rings: The Two Towers"/>
        <s v="The Hunger Games: Mockingjay - Part 1"/>
        <s v="Spider-Man 3"/>
        <s v="Minions"/>
        <s v="Alice in Wonderland"/>
        <s v="Guardians of the Galaxy"/>
        <s v="Forrest Gump"/>
        <s v="Shrek the Third"/>
        <s v="Transformers"/>
        <s v="Iron Man"/>
        <s v="Harry Potter and the Sorcerer’s Stone"/>
        <s v="Indiana Jones and the Kingdom of the Crystal Skull"/>
        <s v="The Lord of the Rings: The Fellowship of the Ring"/>
        <s v="Iron Man 2"/>
        <s v="Pirates of the Caribbean: At World's End"/>
        <s v="Star Wars Ep. VI: Return of the Jedi"/>
        <s v="Independence Day"/>
        <s v="Pirates of the Caribbean: The Curse of the Black Pearl"/>
        <s v="Skyfall"/>
        <s v="The Hobbit: An Unexpected Journey"/>
        <s v="Star Wars Ep. II: Attack of the Clones"/>
        <s v="Harry Potter and the Half-Blood Prince"/>
        <s v="The Twilight Saga: Eclipse"/>
        <s v="The Twilight Saga: New Moon"/>
        <s v="Harry Potter and the Deathly Hallows: Part I"/>
        <s v="The Sixth Sense"/>
        <s v="Up"/>
        <s v="Inception"/>
        <s v="The Twilight Saga: Breaking Dawn, Part 2"/>
        <s v="Harry Potter and the Order of the Phoenix"/>
        <s v="The Chronicles of Narnia: The Lion, the Witch and the Wardrobe"/>
        <s v="Man of Steel"/>
        <s v="Star Wars Ep. V: The Empire Strikes Back"/>
        <s v="Harry Potter and the Goblet of Fire"/>
        <s v="Monsters, Inc."/>
        <s v="The Matrix Reloaded"/>
        <s v="The Twilight Saga: Breaking Dawn, Part 1"/>
        <s v="Meet the Fockers"/>
        <s v="Home Alone"/>
        <s v="The Hangover"/>
        <s v="Gravity"/>
        <s v="Monsters University"/>
        <s v="Shrek"/>
        <s v="The Amazing Spider-Man"/>
        <s v="Harry Potter and the Chamber of Secrets"/>
        <s v="The Incredibles"/>
        <s v="How the Grinch Stole Christmas"/>
        <s v="Jaws"/>
        <s v="Captain America: The Winter Soldier"/>
        <s v="The Hobbit: The Desolation of Smaug"/>
        <s v="The Lego Movie"/>
        <s v="Star Trek"/>
        <s v="I am Legend"/>
        <s v="The Blind Side"/>
        <s v="The Hobbit: The Battle of the Five Armies"/>
        <s v="The Hangover Part II"/>
        <s v="Despicable Me"/>
        <s v="Night at the Museum"/>
        <s v="Men in Black"/>
        <s v="Harry Potter and the Prisoner of Azkaban"/>
        <s v="Batman"/>
        <s v="Raiders of the Lost Ark"/>
        <s v="Toy Story 2"/>
        <s v="Transformers: Age of Extinction"/>
        <s v="Cars"/>
        <s v="Bruce Almighty"/>
        <s v="Ghostbusters"/>
        <s v="Twister"/>
        <s v="My Big Fat Greek Wedding"/>
        <s v="Maleficent"/>
        <s v="Pirates of the Caribbean: On Stranger Tides"/>
        <s v="Fast and Furious 6"/>
        <s v="Shrek Forever After"/>
        <s v="Brave"/>
        <s v="Oz the Great and Powerful"/>
        <s v="X-Men: The Last Stand"/>
        <s v="War of the Worlds"/>
        <s v="X-Men: Days of Future Past"/>
        <s v="Cast Away"/>
        <s v="Beverly Hills Cop"/>
        <s v="The Lost World: Jurassic Park"/>
        <s v="Star Trek Into Darkness"/>
        <s v="Signs"/>
        <s v="Hancock"/>
        <s v="The Bourne Ultimatum"/>
        <s v="Rush Hour 2"/>
        <s v="WALL-E"/>
        <s v="Big Hero 6"/>
        <s v="National Treasure 2: Book of Secrets"/>
        <s v="Alvin and the Chipmunks: The Squeakquel"/>
        <s v="Beauty and the Beast"/>
        <s v="Mrs. Doubtfire"/>
        <s v="Ted"/>
        <s v="King Kong"/>
        <s v="How to Train Your Dragon"/>
        <s v="The Da Vinci Code"/>
        <s v="Alvin and the Chipmunks"/>
        <s v="Madagascar 3: Europe's Most Wanted"/>
        <s v="Saving Private Ryan"/>
        <s v="Kung Fu Panda"/>
        <s v="Mission: Impossible 2"/>
        <s v="X2"/>
        <s v="Doctor Seuss' The Lorax"/>
        <s v="Austin Powers in Goldmember"/>
        <s v="Back to the Future"/>
        <s v="300"/>
        <s v="Fast Five"/>
        <s v="Mission: Impossible - Ghost Protocol"/>
        <s v="The Wedding Crashers"/>
        <s v="Sherlock Holmes"/>
        <s v="Aladdin"/>
        <s v="Dawn of the Planet of the Apes"/>
        <s v="The Martian"/>
        <s v="Charlie and the Chocolate Factory"/>
        <s v="Ratatouille"/>
        <s v="Thor: The Dark World"/>
        <s v="Ghost"/>
        <s v="Austin Powers: The Spy Who Shagged Me"/>
        <s v="Batman Begins"/>
        <s v="The Exorcist"/>
        <s v="The Amazing Spider-Man 2"/>
        <s v="World War Z"/>
        <s v="The Mummy Returns"/>
        <s v="Terminator 2: Judgment Day"/>
        <s v="Armageddon"/>
        <s v="Cinderella"/>
        <s v="Tangled"/>
        <s v="Godzilla"/>
        <s v="Superman Returns"/>
        <s v="Gone with the Wind"/>
        <s v="Pearl Harbor"/>
        <s v="Monsters vs. Aliens"/>
        <s v="Happy Feet"/>
        <s v="Ice Age: Dawn of the Dinosaurs"/>
        <s v="Indiana Jones and the Last Crusade"/>
        <s v="Ice Age: The Meltdown"/>
        <s v="Mission: Impossible - Rogue Nation"/>
        <s v="The Polar Express"/>
        <s v="Madagascar"/>
        <s v="Twilight"/>
        <s v="22 Jump Street"/>
        <s v="Toy Story"/>
        <s v="Cars 2"/>
        <s v="Teenage Mutant Ninja Turtles"/>
        <s v="Men in Black 2"/>
        <s v="Wreck-It Ralph"/>
        <s v="Interstellar"/>
        <s v="Gladiator"/>
        <s v="The Croods"/>
        <s v="Sherlock Holmes: A Game of Shadows"/>
        <s v="The Day After Tomorrow"/>
        <s v="Mr. and Mrs. Smith"/>
        <s v="Snow White and the Seven Dwarfs"/>
        <s v="Batman Forever"/>
        <s v="Pitch Perfect 2"/>
        <s v="Ocean's Eleven"/>
        <s v="The Simpsons Movie"/>
        <s v="What Women Want"/>
        <s v="The Perfect Storm"/>
        <s v="Lincoln"/>
        <s v="Grease"/>
        <s v="Liar Liar"/>
        <s v="Jurassic Park III"/>
        <s v="Thor"/>
        <s v="Mission: Impossible"/>
        <s v="Planet of the Apes"/>
        <s v="Madagascar: Escape 2 Africa"/>
        <s v="X-Men Origins: Wolverine"/>
        <s v="Top Gun"/>
        <s v="Ant-Man"/>
        <s v="Men in Black 3"/>
        <s v="Hitch"/>
        <s v="Home"/>
        <s v="Night at the Museum: Battle of the Smithsonian"/>
        <s v="How to Train Your Dragon 2"/>
        <s v="Rise of the Planet of the Apes"/>
        <s v="Captain America: The First Avenger"/>
        <s v="The Karate Kid"/>
        <s v="There's Something About Mary"/>
        <s v="Ice Age"/>
        <s v="Tootsie"/>
        <s v="The Bourne Supremacy"/>
        <s v="Dances with Wolves"/>
        <s v="Pretty Woman"/>
        <s v="Indiana Jones and the Temple of Doom"/>
        <s v="Elf"/>
        <s v="National Treasure"/>
        <s v="Air Force One"/>
        <s v="The Fugitive"/>
        <s v="Tron: Legacy"/>
        <s v="Apollo 13"/>
        <s v="The Matrix"/>
        <s v="Tarzan"/>
        <s v="True Grit"/>
        <s v="A Beautiful Mind"/>
        <s v="Chicago"/>
        <s v="Home Alone 2: Lost in New York"/>
        <s v="The Help"/>
        <s v="Quantum of Solace"/>
        <s v="Bridesmaids"/>
        <s v="Wild Hogs"/>
        <s v="Crocodile Dundee"/>
        <s v="Rain Man"/>
        <s v="Gone Girl"/>
        <s v="Casino Royale"/>
        <s v="Meet the Parents"/>
        <s v="Fifty Shades of Grey"/>
        <s v="2012"/>
        <s v="Close Encounters of the Third Kind"/>
        <s v="Hotel Transylvania 2"/>
        <s v="Robin Hood: Prince of Thieves"/>
        <s v="Kung Fu Panda 2"/>
        <s v="Hannibal"/>
        <s v="Catch Me if You Can"/>
        <s v="3 Men and a Baby"/>
        <s v="The Proposal"/>
        <s v="Big Daddy"/>
        <s v="Clash of the Titans"/>
        <s v="The Sound of Music"/>
        <s v="The SpongeBob Movie: Sponge Out of Water"/>
        <s v="Batman Returns"/>
        <s v="Django Unchained"/>
        <s v="A Bug's Life"/>
        <s v="The Pursuit of Happyness"/>
        <s v="Grown Ups"/>
        <s v="The Waterboy"/>
        <s v="Shark Tale"/>
        <s v="Ice Age: Continental Drift"/>
        <s v="Straight Outta Compton"/>
        <s v="Die Another Day"/>
        <s v="The Sting"/>
        <s v="The Heat"/>
        <s v="The Firm"/>
        <s v="The Longest Yard"/>
        <s v="X-Men"/>
        <s v="Scary Movie"/>
        <s v="What Lies Beneath"/>
        <s v="The Mummy"/>
        <s v="San Andreas"/>
        <s v="Snow White and the Huntsman"/>
        <s v="Fast &amp; Furious"/>
        <s v="Over the Hedge"/>
        <s v="Fantastic Four"/>
        <s v="Horton Hears a Who"/>
        <s v="Mad Max: Fury Road"/>
        <s v="Jerry Maguire"/>
        <s v="Scooby-Doo"/>
        <s v="101 Dalmatians"/>
        <s v="Beverly Hills Cop II"/>
        <s v="Sex and the City"/>
        <s v="Runaway Bride"/>
        <s v="Who Framed Roger Rabbit?"/>
        <s v="Divergent"/>
        <s v="Rambo: First Blood Part II"/>
        <s v="We're the Millers"/>
        <s v="Terminator 3: Rise of the Machines"/>
        <s v="G.I. Joe: The Rise of Cobra"/>
        <s v="American Hustle"/>
        <s v="Neighbors"/>
        <s v="Puss in Boots"/>
        <s v="Les Miserables"/>
        <s v="Knocked Up"/>
        <s v="Fatal Attraction"/>
        <s v="Little Fockers"/>
        <s v="Megamind"/>
        <s v="Hotel Transylvania"/>
        <s v="Talladega Nights: The Ballad of Ricky Bobby"/>
        <s v="Gremlins"/>
        <s v="Gran Torino"/>
        <s v="As Good as it Gets"/>
        <s v="X-Men: First Class"/>
        <s v="Paul Blart: Mall Cop"/>
        <s v="True Lies"/>
        <s v="Lilo &amp; Stitch"/>
        <s v="American Pie 2"/>
        <s v="Taken"/>
        <s v="The Great Gatsby"/>
        <s v="I, Robot"/>
        <s v="The Santa Clause"/>
        <s v="The Fast and the Furious"/>
        <s v="Doctor Dolittle"/>
        <s v="Mamma Mia!"/>
        <s v="Rio"/>
        <s v="Juno"/>
        <s v="Marley &amp; Me"/>
        <s v="The Smurfs"/>
        <s v="Lethal Weapon 2"/>
        <s v="The Jungle Book"/>
        <s v="xXx"/>
        <s v="The Chronicles of Narnia: Prince Caspian"/>
        <s v="National Lampoon's Animal House"/>
        <s v="Pocahontas"/>
        <s v="Slumdog Millionaire"/>
        <s v="Rush Hour"/>
        <s v="The Blair Witch Project"/>
        <s v="A Few Good Men"/>
        <s v="Deep Impact"/>
        <s v="The Rocky Horror Picture Show"/>
        <s v="Rush Hour 3"/>
        <s v="Stuart Little"/>
        <s v="Taken 2"/>
        <s v="Lethal Weapon 3"/>
        <s v="Saturday Night Fever"/>
        <s v="The Matrix Revolutions"/>
        <s v="The Santa Clause 2"/>
        <s v="The King’s Speech"/>
        <s v="Cheaper by the Dozen"/>
        <s v="Bad Boys II"/>
        <s v="21 Jump Street"/>
        <s v="Good Will Hunting"/>
        <s v="Disney's A Christmas Carol"/>
        <s v="Dinosaur"/>
        <s v="The Conjuring"/>
        <s v="Click"/>
        <s v="The Green Mile"/>
        <s v="Ransom"/>
        <s v="Argo"/>
        <s v="Anger Management"/>
        <s v="Chicken Little"/>
        <s v="Patch Adams"/>
        <s v="Look Who's Talking"/>
        <s v="The Godfather"/>
        <s v="Spectre"/>
        <s v="The Incredible Hulk"/>
        <s v="Live Free or Die Hard"/>
        <s v="Identity Thief"/>
        <s v="Wanted"/>
        <s v="Superman"/>
        <s v="Ride Along"/>
        <s v="The Rock"/>
        <s v="Grown Ups 2"/>
        <s v="Mission: Impossible III"/>
        <s v="Angels &amp; Demons"/>
        <s v="Troy"/>
        <s v="Alvin and the Chipmunks: Chipwrecked"/>
        <s v="Platoon"/>
        <s v="Bringing Down the House"/>
        <s v="The Wolverine"/>
        <s v="The Departed"/>
        <s v="Sister Act"/>
        <s v="Hulk"/>
        <s v="Silver Linings Playbook"/>
        <s v="Minority Report"/>
        <s v="Fantastic Four: Rise of the Silver Surfer"/>
        <s v="The Last Airbender"/>
        <s v="Rio 2"/>
        <s v="Lara Croft: Tomb Raider"/>
        <s v="Get Smart"/>
        <s v="Insurgent"/>
        <s v="American Gangster"/>
        <s v="American Beauty"/>
        <s v="Honey, I Shrunk the Kids"/>
        <s v="Lethal Weapon 4"/>
        <s v="The Ring"/>
        <s v="The Nutty Professor"/>
        <s v="Borat"/>
        <s v="Kingsman: The Secret Service"/>
        <s v="Robots"/>
        <s v="Crouching Tiger, Hidden Dragon"/>
        <s v="Shutter Island"/>
        <s v="Into the Woods"/>
        <s v="Enchanted"/>
        <s v="The Curious Case of Benjamin Button"/>
        <s v="Anchorman 2: The Legend Continues"/>
        <s v="An Officer and a Gentleman"/>
        <s v="Sweet Home Alabama"/>
        <s v="Dumb &amp; Dumber"/>
        <s v="2 Fast 2 Furious"/>
        <s v="Super 8"/>
        <s v="The World is Not Enough"/>
        <s v="My Best Friend's Wedding"/>
        <s v="Smokey and the Bandit"/>
        <s v="Bee Movie"/>
        <s v="Lucy"/>
        <s v="Prometheus"/>
        <s v="Mr. Deeds"/>
        <s v="Safe House"/>
        <s v="The Dream is Alive"/>
        <s v="Erin Brockovich"/>
        <s v="Ocean's Twelve"/>
        <s v="The Truman Show"/>
        <s v="The Flintstones"/>
        <s v="Terminator Salvation"/>
        <s v="Charlie's Angels"/>
        <s v="Tomorrow Never Dies"/>
        <s v="Lone Survivor"/>
        <s v="The Vow"/>
        <s v="Life of Pi"/>
        <s v="The Fault in Our Stars"/>
        <s v="Cloudy with a Chance of Meatballs"/>
        <s v="The Devil Wears Prada"/>
        <s v="Something's Gotta Give"/>
        <s v="The Silence of the Lambs"/>
        <s v="Traffic"/>
        <s v="Rocky IV"/>
        <s v="The Birdcage"/>
        <s v="Nutty Professor II: The Klumps"/>
        <s v="Rango"/>
        <s v="G.I. Joe: Retaliation"/>
        <s v="Clear and Present Danger"/>
        <s v="Good Morning Vietnam"/>
        <s v="The Bourne Identity"/>
        <s v="Superbad"/>
        <s v="Coming to America"/>
        <s v="50 First Dates"/>
        <s v="Inglourious Basterds"/>
        <s v="Mulan"/>
        <s v="Speed"/>
        <s v="Seabiscuit"/>
        <s v="Van Helsing"/>
        <s v="Four Christmases"/>
        <s v="The Mask"/>
        <s v="Cloudy with a Chance of Meatballs 2"/>
        <s v="I Now Pronounce You Chuck and Larry"/>
        <s v="Walk the Line"/>
        <s v="Blazing Saddles"/>
        <s v="G-Force"/>
        <s v="Wayne's World"/>
        <s v="Rocky III"/>
        <s v="The Other Guys"/>
        <s v="Fahrenheit 9/11"/>
        <s v="Hairspray"/>
        <s v="On Golden Pond"/>
        <s v="The Break-Up"/>
        <s v="Lemony Snicket's A Series of Unfortunate Events"/>
        <s v="The Sum of All Fears"/>
        <s v="Salt"/>
        <s v="Blades of Glory"/>
        <s v="Now You See Me"/>
        <s v="Big Momma's House"/>
        <s v="Horrible Bosses"/>
        <s v="Die Hard 2"/>
        <s v="Rocky"/>
        <s v="Jackass 3D"/>
        <s v="Ocean's Thirteen"/>
        <s v="The Wolf of Wall Street"/>
        <s v="S.W.A.T."/>
        <s v="Sleepless in Seattle"/>
        <s v="Double Jeopardy"/>
        <s v="8 Mile"/>
        <s v="Lee Daniels' The Butler"/>
        <s v="Green Lantern"/>
        <s v="Notting Hill"/>
        <s v="City Slickers"/>
        <s v="Towering Inferno"/>
        <s v="Basic Instinct"/>
        <s v="Ghost Rider"/>
        <s v="You've Got Mail"/>
        <s v="Remember the Titans"/>
        <s v="District 9"/>
        <s v="Unbroken"/>
        <s v="American Graffiti"/>
        <s v="Dodgeball: A True Underdog Story"/>
        <s v="The Village"/>
        <s v="Bolt"/>
        <s v="Wild Wild West"/>
        <s v="Night at the Museum: Secret of the Tomb"/>
        <s v="Magic Mike"/>
        <s v="The Addams Family"/>
        <s v="The Hunt for Red October"/>
        <s v="The Patriot"/>
        <s v="Big"/>
        <s v="The Bourne Legacy"/>
        <s v="The Pacifier"/>
        <s v="Doctor Dolittle 2"/>
        <s v="It's Complicated"/>
        <s v="Spy Kids"/>
        <s v="Face/Off"/>
        <s v="The Hangover 3"/>
        <s v="Twins"/>
        <s v="Spy Kids 3-D: Game Over"/>
        <s v="Doctor Zhivago"/>
        <s v="The Bodyguard"/>
        <s v="Enemy of the State"/>
        <s v="Mr. Peabody &amp; Sherman"/>
        <s v="The Last Samurai"/>
        <s v="Spy!"/>
        <s v="The Karate Kid, Part II"/>
        <s v="Fun With Dick And Jane"/>
        <s v="Valentine's Day"/>
        <s v="Tropic Thunder"/>
        <s v="Freaky Friday"/>
        <s v="The Grudge"/>
        <s v="Bedtime Stories"/>
        <s v="Trainwreck"/>
        <s v="Ghostbusters II"/>
        <s v="Scary Movie 3"/>
        <s v="Hook"/>
        <s v="The Little Mermaid"/>
        <s v="Crocodile Dundee 2"/>
        <s v="The 40 Year-old Virgin"/>
        <s v="Couples Retreat"/>
        <s v="Back to the Future Part II"/>
        <s v="One Flew Over the Cuckoo's Nest"/>
        <s v="A Time to Kill"/>
        <s v="Black Hawk Down"/>
        <s v="Total Recall"/>
        <s v="Ace Ventura: When Nature Calls"/>
        <s v="The Princess Diaries"/>
        <s v="Hop"/>
        <s v="Paranormal Activity"/>
        <s v="Pulp Fiction"/>
        <s v="Epic"/>
        <s v="Watchmen"/>
        <s v="A League of Their Own"/>
        <s v="Batman &amp; Robin"/>
        <s v="Captain Phillips"/>
        <s v="Star Trek IV: The Voyage Home"/>
        <s v="Black Swan"/>
        <s v="Analyze This"/>
        <s v="Miss Congeniality"/>
        <s v="Chicken Run"/>
        <s v="300: Rise of an Empire"/>
        <s v="Love Story"/>
        <s v="The Italian Job"/>
        <s v="Goldeneye"/>
        <s v="How to Lose a Guy in 10 Days"/>
        <s v="The First Wives Club"/>
        <s v="Robin Hood"/>
        <s v="Terms of Endearment"/>
        <s v="George Of The Jungle"/>
        <s v="Interview with the Vampire: The Vampire Chronicles"/>
        <s v="Porky's"/>
        <s v="Phenomenon"/>
        <s v="The Princess and the Frog"/>
        <s v="The Graduate"/>
        <s v="The Chronicles of Narnia: The Voyage of the Dawn Treader"/>
        <s v="American Wedding"/>
        <s v="Every Which Way but Loose"/>
        <s v="Daddy Day Care"/>
        <s v="The Road to Perdition"/>
        <s v="Paranormal Activity 3"/>
        <s v="Journey 2: The Mysterious Island"/>
        <s v="Rise of the Guardians"/>
        <s v="Dreamgirls"/>
        <s v="The Expendables"/>
        <s v="Just Go With It"/>
        <s v="Scream"/>
        <s v="Jaws 2"/>
        <s v="Bambi"/>
        <s v="The General's Daughter"/>
        <s v="Driving Miss Daisy"/>
        <s v="The Aviator"/>
        <s v="Daredevil"/>
        <s v="The Girl with the Dragon Tattoo"/>
        <s v="The Maze Runner"/>
        <s v="Butch Cassidy and the Sundance Kid"/>
        <s v="Mary Poppins"/>
        <s v="The Mummy: Tomb of the Dragon Emperor"/>
        <s v="Jackass Presents: Bad Grandpa"/>
        <s v="Pacific Rim"/>
        <s v="American Pie"/>
        <s v="Journey to the Center of the Earth"/>
        <s v="Gone in 60 Seconds"/>
        <s v="The Equalizer"/>
        <s v="This is the End"/>
        <s v="Eagle Eye"/>
        <s v="Superman II"/>
        <s v="Scream 2"/>
        <s v="Stir Crazy"/>
        <s v="Eraser"/>
        <s v="Indecent Proposal"/>
        <s v="The Prince of Egypt"/>
        <s v="Noah"/>
        <s v="Con Air"/>
        <s v="Sleepy Hollow"/>
        <s v="The Cat in the Hat"/>
        <s v="Maverick"/>
        <s v="Charlie's Angels: Full Throttle"/>
        <s v="Contact"/>
        <s v="The Pelican Brief"/>
        <s v="Vanilla Sky"/>
        <s v="Due Date"/>
        <s v="The Rugrats Movie"/>
        <s v="Airport"/>
        <s v="Step Brothers"/>
        <s v="Million Dollar Baby"/>
        <s v="Nine to Five"/>
        <s v="Bad Teacher"/>
        <s v="Evan Almighty"/>
        <s v="Yogi Bear"/>
        <s v="Shakespeare in Love"/>
        <s v="Cowboys and Aliens"/>
        <s v="Casper"/>
        <s v="Edge of Tomorrow"/>
        <s v="Collateral"/>
        <s v="The Hunchback of Notre Dame"/>
        <s v="Jumanji"/>
        <s v="Se7en"/>
        <s v="You Don't Mess With the Zohan"/>
        <s v="In the Line of Fire"/>
        <s v="Die Hard: With a Vengeance"/>
        <s v="Gnomeo and Juliet"/>
        <s v="Unforgiven"/>
        <s v="Dick Tracy"/>
        <s v="Hercules"/>
        <s v="Kramer vs. Kramer"/>
        <s v="Olympus Has Fallen"/>
        <s v="Heaven Can Wait"/>
        <s v="The Green Hornet"/>
        <s v="Date Night"/>
        <s v="Sleeping with the Enemy"/>
        <s v="Billy Jack"/>
        <s v="Meet the Robinsons"/>
        <s v="Yes Man"/>
        <s v="Inspector Gadget"/>
        <s v="Public Enemies"/>
        <s v="The Social Network"/>
        <s v="The Others"/>
        <s v="Legally Blonde"/>
        <s v="Zero Dark Thirty"/>
        <s v="Cold Mountain"/>
        <s v="Schindler's List"/>
        <s v="Parenthood"/>
        <s v="Norbit"/>
        <s v="Sex and the City 2"/>
        <s v="Michael"/>
        <s v="Panic Room"/>
        <s v="The Princess Diaries 2: Royal Engagement"/>
        <s v="42"/>
        <s v="Unbreakable"/>
        <s v="The Book of Eli"/>
        <s v="10,000 B.C."/>
        <s v="Beverly Hills Chihuahua"/>
        <s v="Dead Poets' Society"/>
        <s v="Julie &amp; Julia"/>
        <s v="He's Just Not That Into You"/>
        <s v="Maid in Manhattan"/>
        <s v="Master and Commander: The Far Side of the World"/>
        <s v="Flight"/>
        <s v="The Mask of Zorro"/>
        <s v="The Fighter"/>
        <s v="America's Sweethearts"/>
        <s v="Lady and the Tramp"/>
        <s v="The Color Purple"/>
        <s v="The Bucket List"/>
        <s v="Tomorrowland"/>
        <s v="Cats &amp; Dogs"/>
        <s v="Two Weeks Notice"/>
        <s v="The Poseidon Adventure"/>
        <s v="Space Station"/>
        <s v="Elysium"/>
        <s v="Flubber"/>
        <s v="Red Dragon"/>
        <s v="The Town"/>
        <s v="The Client"/>
        <s v="Star Trek: First Contact"/>
        <s v="When Harry Met Sally…"/>
        <s v="Non-Stop"/>
        <s v="Think Like a Man"/>
        <s v="Heaven is for Real"/>
        <s v="Crimson Tide"/>
        <s v="The Haunting"/>
        <s v="The Imitation Game"/>
        <s v="Save the Last Dance"/>
        <s v="Stepmom"/>
        <s v="Prince of Persia: Sands of Time"/>
        <s v="Scary Movie 4"/>
        <s v="The Game Plan"/>
        <s v="Antz"/>
        <s v="The Scorpion King"/>
        <s v="Me, Myself &amp; Irene"/>
        <s v="High School Musical 3: Senior Year"/>
        <s v="Madea Goes To Jail"/>
        <s v="Flashdance"/>
        <s v="Space Cowboys"/>
        <s v="Space Jam"/>
        <s v="Get Hard"/>
        <s v="Red"/>
        <s v="Disney Planes"/>
        <s v="Legally Blonde 2: Red, White &amp; Blonde"/>
        <s v="Mystic River"/>
        <s v="Terminator: Genisys"/>
        <s v="Flightplan"/>
        <s v="Father of the Bride"/>
        <s v="The Emperor's New Groove"/>
        <s v="The Lone Ranger"/>
        <s v="Taken 3"/>
        <s v="Scream 3"/>
        <s v="Oblivion"/>
        <s v="The Trial of Billy Jack"/>
        <s v="The Ugly Truth"/>
        <s v="Kindergarten Cop"/>
        <s v="Percy Jackson &amp; the Olympians: The Lightning Thief"/>
        <s v="Failure to Launch"/>
        <s v="The Muppets"/>
        <s v="Trading Places"/>
        <s v="Inside Man"/>
        <s v="Waterworld"/>
        <s v="Starsky &amp; Hutch"/>
        <s v="Along Came Polly"/>
        <s v="The Hand That Rocks the Cradle"/>
        <s v="Entrapment"/>
        <s v="Back to the Future Part III"/>
        <s v="Peter Pan"/>
        <s v="The Pineapple Express"/>
        <s v="Everest"/>
        <s v="Saw II"/>
        <s v="The Campaign"/>
        <s v="Back to School"/>
        <s v="To Fly!"/>
        <s v="The Amityville Horror"/>
        <s v="Young Frankenstein"/>
        <s v="Dumb and Dumber To"/>
        <s v="Mean Girls"/>
        <s v="Annie"/>
        <s v="Spy Kids 2: The Island of Lost Dreams"/>
        <s v="Fury"/>
        <s v="The Naked Gun 2½: The Smell of Fear"/>
        <s v="Pokemon: The First Movie"/>
        <s v="Real Steel"/>
        <s v="SpongeBob SquarePants: The Movie"/>
        <s v="Brother Bear"/>
        <s v="Rocky 2"/>
        <s v="Aliens"/>
        <s v="The Expendables 2"/>
        <s v="Dangerous Minds"/>
        <s v="Paranormal Activity 2"/>
        <s v="Tammy"/>
        <s v="The Santa Clause 3: The Escape Clause"/>
        <s v="The Peanuts Movie"/>
        <s v="Crazy, Stupid, Love"/>
        <s v="Open Season"/>
        <s v="Pinocchio"/>
        <s v="Annabelle"/>
        <s v="Scooby-Doo 2: Monsters Unleashed"/>
        <s v="Anchorman: The Legend of Ron Burgundy"/>
        <s v="Atlantis: The Lost Empire"/>
        <s v="Cliffhanger"/>
        <s v="The Other Woman"/>
        <s v="The X Files: Fight the Future"/>
        <s v="Up in the Air"/>
        <s v="The Goodbye Girl"/>
        <s v="Wrath of the Titans"/>
        <s v="Insidious Chapter 2"/>
        <s v="Battle: Los Angeles"/>
        <s v="Immortals"/>
        <s v="Airplane!"/>
        <s v="Penguins of Madagascar"/>
        <s v="Stripes"/>
        <s v="Fantasia"/>
        <s v="Saving Mr. Banks"/>
        <s v="Patriot Games"/>
        <s v="The War of the Roses"/>
        <s v="Valkyrie"/>
        <s v="Brokeback Mountain"/>
        <s v="Turbo"/>
        <s v="Disclosure"/>
        <s v="Monster-in-Law"/>
        <s v="The Descendants"/>
        <s v="Charlotte's Web"/>
        <s v="Cheaper by the Dozen 2"/>
        <s v="Freddy vs. Jason"/>
        <s v="Mr. Holland's Opus"/>
        <s v="Let’s Be Cops"/>
        <s v="Under Siege"/>
        <s v="Are We There Yet?"/>
        <s v="Star Trek: The Motion Picture"/>
        <s v="Bridge to Terabithia"/>
        <s v="The Pink Panther"/>
        <s v="Beowulf"/>
        <s v="Presumed Innocent"/>
        <s v="Blade 2"/>
        <s v="Eight Below"/>
        <s v="M*A*S*H"/>
        <s v="Unstoppable"/>
        <s v="Payback"/>
        <s v="The Talented Mr. Ripley"/>
        <s v="Ted 2"/>
        <s v="School of Rock"/>
        <s v="Police Academy"/>
        <s v="Jumper"/>
        <s v="21"/>
        <s v="Snow Dogs"/>
        <s v="While You Were Sleeping"/>
        <s v="The Notebook"/>
        <s v="Congo"/>
        <s v="Jimmy Neutron: Boy Genius"/>
        <s v="Alien"/>
        <s v="Arthur"/>
        <s v="Die Hard"/>
        <s v="Eat Pray Love"/>
        <s v="Maze Runner: The Scorch Trials"/>
        <s v="Fiddler on the Roof"/>
        <s v="The Texas Chainsaw Massacre"/>
        <s v="Zookeeper"/>
        <s v="AVP: Alien Vs. Predator"/>
        <s v="What Happens in Vegas..."/>
        <s v="The Dukes of Hazzard"/>
        <s v="Saw III"/>
        <s v="The Wedding Singer"/>
        <s v="Nacho Libre"/>
        <s v="Disturbia"/>
        <s v="Jack Reacher"/>
        <s v="Cloverfield"/>
        <s v="Another 48 Hrs."/>
        <s v="Dear John"/>
        <s v="The Ten Commandments"/>
        <s v="Knowing"/>
        <s v="War Horse"/>
        <s v="Dark Shadows"/>
        <s v="Earthquake"/>
        <s v="Hannah Montana the Movie"/>
        <s v="The Day the Earth Stood Still"/>
        <s v="Limitless"/>
        <s v="Out of Africa"/>
        <s v="Cape Fear"/>
        <s v="Fried Green Tomatoes"/>
        <s v="Apocalypse Now"/>
        <s v="Days of Thunder"/>
        <s v="Pixels"/>
        <s v="City of Angels"/>
        <s v="The English Patient"/>
        <s v="Star Trek II: The Wrath of Khan"/>
        <s v="Artificial Intelligence: AI"/>
        <s v="Cocktail"/>
        <s v="Bram Stoker's Dracula"/>
        <s v="We Were Soldiers"/>
        <s v="Tower Heist"/>
        <s v="The Monuments Men"/>
        <s v="Man on Fire"/>
        <s v="Backdraft"/>
        <s v="Gangs of New York"/>
        <s v="Free Willy"/>
        <s v="The Adventures of Tintin"/>
        <s v="Steel Magnolias"/>
        <s v="The Golden Child"/>
        <s v="La marche de l'empereur"/>
        <s v="Parental Guidance"/>
        <s v="Where the Wild Things Are"/>
        <s v="The A-Team"/>
        <s v="U-571"/>
        <s v="The Terminal"/>
        <s v="Moonstruck"/>
        <s v="27 Dresses"/>
        <s v="The Muppet Movie"/>
        <s v="Father of the Bride Part II"/>
        <s v="Philadelphia"/>
        <s v="Rugrats in Paris"/>
        <s v="Knight and Day"/>
        <s v="Teenage Mutant Ninja Turtles II: The Secret of the Ooze"/>
        <s v="Training Day"/>
        <s v="White Men Can't Jump"/>
        <s v="Paddington"/>
        <s v="Conspiracy Theory"/>
        <s v="The Ring Two"/>
        <s v="48 Hrs."/>
        <s v="Cocoon"/>
        <s v="Footloose"/>
        <s v="The Haunted Mansion"/>
        <s v="Hellboy II: The Golden Army"/>
        <s v="Barbershop"/>
        <s v="The Family Man"/>
        <s v="The Untouchables"/>
        <s v="Contagion"/>
        <s v="You, Me and Dupree"/>
        <s v="We Bought a Zoo"/>
        <s v="2 Guns"/>
        <s v="Moneyball"/>
        <s v="The Rookie"/>
        <s v="Zombieland"/>
        <s v="Braveheart"/>
        <s v="Any Given Sunday"/>
        <s v="Star Trek: Generations"/>
        <s v="Constantine"/>
        <s v="The Horse Whisperer"/>
        <s v="Garfield"/>
        <s v="Ray"/>
        <s v="Coraline"/>
        <s v="Old School"/>
        <s v="Romancing the Stone"/>
        <s v="The Exorcism of Emily Rose"/>
        <s v="Eragon"/>
        <s v="Star Trek VI: The Undiscovered Country"/>
        <s v="The Prince of Tides"/>
        <s v="Poltergeist"/>
        <s v="Ladder 49"/>
        <s v="Four Brothers"/>
        <s v="WarGames"/>
        <s v="Six Days, Seven Nights"/>
        <s v="No Country for Old Men"/>
        <s v="Jack and Jill"/>
        <s v="Sin City"/>
        <s v="Along Came a Spider"/>
        <s v="Goosebumps"/>
        <s v="Hugo"/>
        <s v="Christmas with the Kranks"/>
        <s v="The Jerk"/>
        <s v="Monster House"/>
        <s v="Deep Blue Sea"/>
        <s v="The Intern"/>
        <s v="Law Abiding Citizen"/>
        <s v="Beetle Juice"/>
        <s v="Spirit: Stallion of the Cimarron"/>
        <s v="Hollow Man"/>
        <s v="White House Down"/>
        <s v="John Carter"/>
        <s v="Hotel for Dogs"/>
        <s v="Dinner for Schmucks"/>
        <s v="Justin Bieber: Never Say Never"/>
        <s v="Ben-Hur"/>
        <s v="Barnyard: The Original Party Animals"/>
        <s v="Jackass: Number Two"/>
        <s v="The Interpreter"/>
        <s v="Dolphin Tale"/>
        <s v="Vantage Point"/>
        <s v="I Know What You Did Last Summer"/>
        <s v="Michael Jackson's This Is It"/>
        <s v="Fred Claus"/>
        <s v="My Fair Lady"/>
        <s v="1408"/>
        <s v="The Last of the Mohicans"/>
        <s v="Get Shorty"/>
        <s v="Mama"/>
        <s v="Ace Ventura: Pet Detective"/>
        <s v="The Purge: Anarchy"/>
        <s v="Sideways"/>
        <s v="Bridget Jones's Diary"/>
        <s v="Grumpier Old Men"/>
        <s v="The Bridges of Madison County"/>
        <s v="R.V."/>
        <s v="I Love You, Man"/>
        <s v="Galaxy Quest"/>
        <s v="Safe Haven"/>
        <s v="Stargate"/>
        <s v="3 Men and a Little Lady"/>
        <s v="National Lampoon's Christmas Vacation"/>
        <s v="Chocolat"/>
        <s v="Scary Movie 2"/>
        <s v="Star Trek III: The Search for Spock"/>
        <s v="The Spiderwick Chronicles"/>
        <s v="The Score"/>
        <s v="Paul Blart: Mall Cop 2"/>
        <s v="John Q"/>
        <s v="The Smurfs 2"/>
        <s v="Bird on a Wire"/>
        <s v="The Naked Gun: From the Files of Police Squad!"/>
        <s v="Shallow Hal"/>
        <s v="Any Which Way You Can"/>
        <s v="No Strings Attached"/>
        <s v="Broken Arrow"/>
        <s v="The Best Man Holiday"/>
        <s v="V for Vendetta"/>
        <s v="Mortal Kombat"/>
        <s v="JFK"/>
        <s v="Shaft"/>
        <s v="Moonraker"/>
        <s v="World Trade Center"/>
        <s v="Rocky Balboa"/>
        <s v="Fool's Gold"/>
        <s v="Star Trek: Insurrection"/>
        <s v="Grumpy Old Men"/>
        <s v="Big Momma's House 2"/>
        <s v="Turner &amp; Hooch"/>
        <s v="The Golden Compass"/>
        <s v="Kill Bill: Volume 1"/>
        <s v="Act of Valor"/>
        <s v="Blade"/>
        <s v="Seven Pounds"/>
        <s v="Private Benjamin"/>
        <s v="Swordfish"/>
        <s v="The Best Little Whorehouse in Texas"/>
      </sharedItems>
    </cacheField>
    <cacheField name="Genre Code" numFmtId="1">
      <sharedItems containsSemiMixedTypes="0" containsString="0" containsNumber="1" containsInteger="1" minValue="10" maxValue="90"/>
    </cacheField>
    <cacheField name="Genre" numFmtId="1">
      <sharedItems count="9">
        <s v="Science Fiction"/>
        <s v="Historical Fiction"/>
        <s v="Super Hero"/>
        <s v="Kids Fiction"/>
        <s v="Fantasy"/>
        <s v="Dramatization"/>
        <s v="Contemporary Fiction"/>
        <s v="Factual"/>
        <s v="Multiple Creative Types"/>
      </sharedItems>
    </cacheField>
    <cacheField name="Year Produced" numFmtId="0">
      <sharedItems containsSemiMixedTypes="0" containsString="0" containsNumber="1" containsInteger="1" minValue="1937" maxValue="2016" count="61">
        <n v="2009"/>
        <n v="1997"/>
        <n v="2015"/>
        <n v="2012"/>
        <n v="2008"/>
        <n v="1999"/>
        <n v="1977"/>
        <n v="2004"/>
        <n v="1982"/>
        <n v="2013"/>
        <n v="2006"/>
        <n v="1994"/>
        <n v="2010"/>
        <n v="2011"/>
        <n v="2002"/>
        <n v="1993"/>
        <n v="2003"/>
        <n v="2005"/>
        <n v="2014"/>
        <n v="2007"/>
        <n v="2001"/>
        <n v="1983"/>
        <n v="1996"/>
        <n v="1980"/>
        <n v="1990"/>
        <n v="2000"/>
        <n v="1975"/>
        <n v="1989"/>
        <n v="1981"/>
        <n v="1984"/>
        <n v="1991"/>
        <n v="1998"/>
        <n v="1985"/>
        <n v="1992"/>
        <n v="1973"/>
        <n v="1939"/>
        <n v="1995"/>
        <n v="1937"/>
        <n v="1978"/>
        <n v="1986"/>
        <n v="1988"/>
        <n v="1987"/>
        <n v="1965"/>
        <n v="1961"/>
        <n v="1967"/>
        <n v="1972"/>
        <n v="1974"/>
        <n v="1976"/>
        <n v="1970"/>
        <n v="1942"/>
        <n v="1969"/>
        <n v="1964"/>
        <n v="1979"/>
        <n v="1971"/>
        <n v="1955"/>
        <n v="1953"/>
        <n v="1950"/>
        <n v="1940"/>
        <n v="1956"/>
        <n v="2016"/>
        <n v="1959"/>
      </sharedItems>
    </cacheField>
    <cacheField name="Lead Actor ID" numFmtId="0">
      <sharedItems containsSemiMixedTypes="0" containsString="0" containsNumber="1" containsInteger="1" minValue="10000" maxValue="19300"/>
    </cacheField>
    <cacheField name="Lead Actor" numFmtId="0">
      <sharedItems count="621">
        <s v="Dileep Rao"/>
        <s v="Leonardo DiCaprio"/>
        <s v="Chris Pratt"/>
        <s v="Scarlett Johansson"/>
        <s v="Cillian Murphy"/>
        <s v="Andrew Secombe"/>
        <s v="Harrison Ford"/>
        <s v="Claudia Kim"/>
        <s v="Christian Bale"/>
        <s v="Mike Myers"/>
        <s v="Michael Durrell"/>
        <s v="Philip Seymour Hoffman"/>
        <s v="Johnny Depp"/>
        <s v="Rowan Atkinson"/>
        <s v="Tim Allen"/>
        <s v="Robert Downey, Jr."/>
        <s v="Wes Bentley"/>
        <s v="Tobey Maguire"/>
        <s v="Shia LaBeouf"/>
        <s v="Kristen Bell"/>
        <s v="Miguel Sandoval"/>
        <s v="Josh Herdman"/>
        <s v="Jordy Ranft"/>
        <s v="Jay Laga'aia"/>
        <s v="Elijah Wood"/>
        <s v="James Caviezel"/>
        <s v="Steve Carell"/>
        <s v="Lewis Black"/>
        <s v="Vin Diesel"/>
        <s v="Bradley Cooper"/>
        <s v="Jennifer Lawrence"/>
        <s v="Jennifer Saunders"/>
        <s v="Frank Welker"/>
        <s v="Mykelti Williamson"/>
        <s v="Karen Allen"/>
        <s v="Gwyneth Paltrow"/>
        <s v="Dan Lauria"/>
        <s v="Daniel Craig"/>
        <s v="Hugo Weaving"/>
        <s v="Gemma Jones"/>
        <s v="Dakota Fanning"/>
        <s v="Kristen Stewart"/>
        <s v="Timothy Spall"/>
        <s v="Bruce Willis"/>
        <s v="Christopher Plummer"/>
        <s v="Michael Caine"/>
        <s v="Devon Murray"/>
        <s v="Kiran Shah"/>
        <s v="Henry Cavill"/>
        <s v="Jeremy Bulloch"/>
        <s v="Billy Crystal"/>
        <s v="Keanu Reeves"/>
        <s v="Ben Stiller"/>
        <s v="Michael C. Maronna"/>
        <s v="Mike Tyson"/>
        <s v="George Clooney"/>
        <s v="Andrew Garfield"/>
        <s v="Chris Rankin"/>
        <s v="Lou Romano"/>
        <s v="T.J. Thyne"/>
        <s v="Robert Chambers"/>
        <s v="Chris Evans"/>
        <s v="Martin Freeman"/>
        <s v="Amanda Farinos"/>
        <s v="Zachary Quinto"/>
        <s v="Emma Thompson"/>
        <s v="Tim McGraw"/>
        <s v="Zach Galifianakis"/>
        <s v="Jack McBrayer"/>
        <s v="Tommy Lee Jones"/>
        <s v="Lee Wallace"/>
        <s v="Tom Hanks"/>
        <s v="Mark Wahlberg"/>
        <s v="Andrew Stanton"/>
        <s v="Sally Kirkland"/>
        <s v="Dan Aykroyd"/>
        <s v="Bill Paxton"/>
        <s v="John Corbett"/>
        <s v="Angelina Jolie"/>
        <s v="Lake Bell"/>
        <s v="James Franco"/>
        <s v="Shawn Ashmore"/>
        <s v="Tom Cruise"/>
        <s v="Hugh Jackman"/>
        <s v="Jenifer Lewis"/>
        <s v="Michael Champion"/>
        <s v="Jeff Goldblum"/>
        <s v="Chris Pine"/>
        <s v="Mel Gibson"/>
        <s v="Jae Head"/>
        <s v="Scott Glenn"/>
        <s v="Jackie Chan"/>
        <s v="Fred Willard"/>
        <s v="Scott Adsit"/>
        <s v="Nicolas Cage"/>
        <s v="Zachary Levi"/>
        <s v="Bill Farmer"/>
        <s v="Robin Williams"/>
        <s v="Kyle Chandler"/>
        <s v="Kristen Wiig"/>
        <s v="Jurgen Prochnow"/>
        <s v="Jane Lynch"/>
        <s v="Eric Darnell"/>
        <s v="Dan Fogler"/>
        <s v="Patrick Stewart"/>
        <s v="Danny De Vito"/>
        <s v="Fred Stoller"/>
        <s v="Casey Siemaszko"/>
        <s v="Peter Mensah"/>
        <s v="Owen Wilson"/>
        <s v="Debi Derryberry"/>
        <s v="Andy Serkis"/>
        <s v="Matt Damon"/>
        <s v="James Fox"/>
        <s v="Brad Garrett"/>
        <s v="Natalie Portman"/>
        <s v="Demi Moore"/>
        <s v="Eric Winzenried"/>
        <s v="Sara Stewart"/>
        <s v="Lee J. Cobb"/>
        <s v="Brad Pitt"/>
        <s v="Brendan Fraser"/>
        <s v="Arnold Schwarzenegger"/>
        <s v="James Fitzpatrick"/>
        <s v="Nonso Anozie"/>
        <s v="Mandy Moore"/>
        <s v="Elizabeth Olsen"/>
        <s v="Brandon Routh"/>
        <s v="Clark Gable"/>
        <s v="Ben Affleck"/>
        <s v="Reese Witherspoon"/>
        <s v="Miriam Margolyes"/>
        <s v="J.J. Hardy"/>
        <s v="Stephen Root"/>
        <s v="Jonah Hill"/>
        <s v="Megan Fox"/>
        <s v="John C. Reilly"/>
        <s v="Matthew McConaughey"/>
        <s v="Russell Crowe"/>
        <s v="Ryan Reynolds"/>
        <s v="Adrian Lester"/>
        <s v="Unidentified"/>
        <s v="Kimberly Scott"/>
        <s v="Anna Kendrick"/>
        <s v="Dan Castellaneta"/>
        <s v="Daniel Day-Lewis"/>
        <s v="John Travolta"/>
        <s v="Jim Carrey"/>
        <s v="Sonia Jackson"/>
        <s v="Kelly Hawthorne"/>
        <s v="Jon Voight"/>
        <s v="Sacha Baron Cohen"/>
        <s v="Paul Rudd"/>
        <s v="Bill Hader"/>
        <s v="Philip Bosco"/>
        <s v="Jim Parsons"/>
        <s v="Jay Baruchel"/>
        <s v="Taraji P. Henson"/>
        <s v="W. Earl Brown"/>
        <s v="Charles Durning"/>
        <s v="Chris Cooper"/>
        <s v="Michael Spears"/>
        <s v="Hector Elizondo"/>
        <s v="Chua Kah Joo"/>
        <s v="Peter Dinklage"/>
        <s v="Timothy Carhart"/>
        <s v="Nick Searcy"/>
        <s v="Garrett Hedlund"/>
        <s v="Gabriel Jarret"/>
        <s v="Tony Goldwyn"/>
        <s v="Jeff Bridges"/>
        <s v="Ron Howard"/>
        <s v="Chita Rivera"/>
        <s v="Rip Taylor"/>
        <s v="Emma Stone"/>
        <s v="Linda Kozlowski"/>
        <s v="Ivana Milicevic"/>
        <s v="Dakota Johnson"/>
        <s v="Chang Tseng"/>
        <s v="Melinda Dillon"/>
        <s v="Adam Sandler"/>
        <s v="Mary Elizabeth Mastrantonio"/>
        <s v="Dustin Hoffman"/>
        <s v="Judie Aronson"/>
        <s v="Alex Hyde-White"/>
        <s v="Derek de Lint"/>
        <s v="Sandra Bullock"/>
        <s v="Peter Dante"/>
        <s v="Alexa Davalos"/>
        <s v="Bill Fagerbakke"/>
        <s v="Branscombe Richmond"/>
        <s v="Jamie Foxx"/>
        <s v="Will Smith"/>
        <s v="Jamie Chung"/>
        <s v="Ray Romano"/>
        <s v="O'Shea Jackson, Jr."/>
        <s v="Madonna"/>
        <s v="Paul Newman"/>
        <s v="Tobin Bell"/>
        <s v="Shannon Elizabeth"/>
        <s v="Dwayne Johnson"/>
        <s v="Shea Whigham"/>
        <s v="Stan Lee"/>
        <s v="Mickie McGowan"/>
        <s v="Tom Hardy"/>
        <s v="Jordan Ross"/>
        <s v="Matthew Lillard"/>
        <s v="Rod Taylor"/>
        <s v="Allen Garfield"/>
        <s v="Sarah Jessica Parker"/>
        <s v="Julia Roberts"/>
        <s v="Bob Hoskins"/>
        <s v="Shailene Woodley"/>
        <s v="Sylvester Stallone"/>
        <s v="Will Poulter"/>
        <s v="Byung-hun Lee"/>
        <s v="Seth Rogen"/>
        <s v="Antonio Banderas"/>
        <s v="Mike Nussbaum"/>
        <s v="Teri Polo"/>
        <s v="Will Ferrell"/>
        <s v="Dick Miller"/>
        <s v="Clint Eastwood"/>
        <s v="Maya Rudolph"/>
        <s v="James McAvoy"/>
        <s v="Kevin James"/>
        <s v="Daveigh Chase"/>
        <s v="Tara Reid"/>
        <s v="Liam Neeson"/>
        <s v="Alan Tudyk"/>
        <s v="F. Valentino Morales"/>
        <s v="Beth Grant"/>
        <s v="Meryl Streep"/>
        <s v="Anne Hathaway"/>
        <s v="J.K. Simmons"/>
        <s v="Alan Cumming"/>
        <s v="George Sanders"/>
        <s v="Pedja Bjelac"/>
        <s v="Kevin Bacon"/>
        <s v="Irfan Khan"/>
        <s v="Patricia Decou"/>
        <s v="James Marshall"/>
        <s v="Francis X. McCarthy"/>
        <s v="Susan Sarandon"/>
        <s v="Michael J. Fox"/>
        <s v="Colin Firth"/>
        <s v="Shawn Levy"/>
        <s v="Michael Shannon"/>
        <s v="Sonje Fortag"/>
        <s v="Hayden Panettiere"/>
        <s v="Vera Farmiga"/>
        <s v="Marco Khan"/>
        <s v="Bill McKinney"/>
        <s v="Liev Schreiber"/>
        <s v="Matthew Broderick"/>
        <s v="Rudy Giuliani"/>
        <s v="Amy Sedaris"/>
        <s v="Kirstie Alley"/>
        <s v="Marlon Brando"/>
        <s v="Morris Chestnut"/>
        <s v="Terence Stamp"/>
        <s v="Ice Cube"/>
        <s v="Armin Mueller-Stahl"/>
        <s v="Jason Lee"/>
        <s v="Tom Berenger"/>
        <s v="Steve Harris"/>
        <s v="David Patrick O'Hara"/>
        <s v="Nicky Katt"/>
        <s v="Michael Papajohn"/>
        <s v="Cliff Curtis"/>
        <s v="Jesse Eisenberg"/>
        <s v="Theo James"/>
        <s v="Kevin Corrigan"/>
        <s v="Sue Casey"/>
        <s v="Matt Frewer"/>
        <s v="Naomi Watts"/>
        <s v="Jada Pinkett Smith"/>
        <s v="Ken Davitian"/>
        <s v="Ewan McGregor"/>
        <s v="Li Li"/>
        <s v="Richard Covey"/>
        <s v="Madisen Beaty"/>
        <s v="Christina Applegate"/>
        <s v="Richard Gere"/>
        <s v="Hank Brandt"/>
        <s v="Roberto Sanz"/>
        <s v="Pierce Brosnan"/>
        <s v="Sally Field"/>
        <s v="Tress MacNeille"/>
        <s v="Noomi Rapace"/>
        <s v="Denzel Washington"/>
        <s v="Dann Florek"/>
        <s v="Rachel McAdams"/>
        <s v="Suraj Sharma"/>
        <s v="Neil Patrick Harris"/>
        <s v="Emily Blunt"/>
        <s v="Jack Nicholson"/>
        <s v="Elias Koteas"/>
        <s v="Jodie Foster"/>
        <s v="Michael Douglas"/>
        <s v="Jay Leno"/>
        <s v="Eddie Murphy"/>
        <s v="Ray Stevenson"/>
        <s v="Henry Czerny"/>
        <s v="Gabriel Mann"/>
        <s v="Stephanie Simon"/>
        <s v="Ming-Na"/>
        <s v="Rob Schneider"/>
        <s v="Harvey Korman"/>
        <s v="Ricki Lake"/>
        <s v="Jane Fonda"/>
        <s v="Judy Davis"/>
        <s v="Rob Corddry"/>
        <s v="Isla Fisher"/>
        <s v="Cedric the Entertainer"/>
        <s v="Jason Bateman"/>
        <s v="Ken Baldwin"/>
        <s v="Johnny Knoxville"/>
        <s v="Samuel L. Jackson"/>
        <s v="Rosie O'Donnell"/>
        <s v="Davenia McFadden"/>
        <s v="Forest Whitaker"/>
        <s v="Tim Robbins"/>
        <s v="Robert Costanzo"/>
        <s v="Mitch Pileggi"/>
        <s v="Mampho Brescia"/>
        <s v="Jack O'Connell"/>
        <s v="Paul Le Mat"/>
        <s v="Joel Moore"/>
        <s v="Joaquin Phoenix"/>
        <s v="Susie Essman"/>
        <s v="Channing Tatum"/>
        <s v="Barry Sonnenfeld"/>
        <s v="Debra Jo Rupp"/>
        <s v="Jeremy Renner"/>
        <s v="Chris Potter"/>
        <s v="David Cross"/>
        <s v="Nora Dunn"/>
        <s v="CCH Pounder"/>
        <s v="Daryl Sabara"/>
        <s v="Tom Courtenay"/>
        <s v="Mike Starr"/>
        <s v="Ty Burrell"/>
        <s v="Shun Sugata"/>
        <s v="Melissa McCarthy"/>
        <s v="Ralph Macchio"/>
        <s v="Carlos Jacott"/>
        <s v="George Lopez"/>
        <s v="Marc McClure"/>
        <s v="Grace Zabriskie"/>
        <s v="Thomas Hoffman"/>
        <s v="Robert E. Torres"/>
        <s v="Anna Faris"/>
        <s v="Caroline Goodall"/>
        <s v="Mark Hamill"/>
        <s v="Kevin Hart"/>
        <s v="Colin Baiocchhi"/>
        <s v="Christopher Lloyd"/>
        <s v="Sharon Stone"/>
        <s v="Adewale Akinnuoye-Agbaje"/>
        <s v="Julie Andrews"/>
        <s v="James Marsden"/>
        <s v="Mark Fredrichs"/>
        <s v="Tim Roth"/>
        <s v="Beyonce Knowles"/>
        <s v="Matthew Goode"/>
        <s v="Don S. Davis"/>
        <s v="William Shatner"/>
        <s v="Tony Darrow"/>
        <s v="Benjamin Whitrow"/>
        <s v="Sullivan Stapleton"/>
        <s v="Donald Sutherland"/>
        <s v="Bebe Neuwirth"/>
        <s v="Spencer Garrett"/>
        <s v="Kim Cattrall"/>
        <s v="Anika Noni Rose"/>
        <s v="Lawrence Pressman"/>
        <s v="Ruth Gordon"/>
        <s v="Elle Fanning"/>
        <s v="Dustin Ingram"/>
        <s v="Sharon Leal"/>
        <s v="David Arquette"/>
        <s v="Keith Gordon"/>
        <s v="Peter Weireter"/>
        <s v="Patti LuPone"/>
        <s v="Frances Conroy"/>
        <s v="Lennie Loftin"/>
        <s v="Dylan O'Brien"/>
        <s v="Kenneth Mars"/>
        <s v="Diego Klattenhoff"/>
        <s v="Chris Weitz"/>
        <s v="Anita Briem"/>
        <s v="Anthony Azizi"/>
        <s v="Sarah Michelle Gellar"/>
        <s v="Craig T. Nelson"/>
        <s v="Val Kilmer"/>
        <s v="Carl Ciarfalio"/>
        <s v="Danny Glover"/>
        <s v="Bob Stephenson"/>
        <s v="SaMi Chester"/>
        <s v="Joe Alaskey"/>
        <s v="Marion Ross"/>
        <s v="Hilary Swank"/>
        <s v="Cameron Diaz"/>
        <s v="Graham Phillips"/>
        <s v="Joseph Fiennes"/>
        <s v="Olivia Wilde"/>
        <s v="Mr. Rogers"/>
        <s v="Irma P. Hall"/>
        <s v="Kath Soucie"/>
        <s v="Bradley Pierce"/>
        <s v="Julie Araskog"/>
        <s v="Larry Bryggman"/>
        <s v="JoBeth Williams"/>
        <s v="Gerard Butler"/>
        <s v="Buck Henry"/>
        <s v="Tom Wilkinson"/>
        <s v="Leighton Meester"/>
        <s v="Tom Laughlin"/>
        <s v="Angela Bassett"/>
        <s v="Nicole Kidman"/>
        <s v="Jessica Chastain"/>
        <s v="Robin Mullins"/>
        <s v="Ralph Fiennes"/>
        <s v="Nicole Beharie"/>
        <s v="Michael Gambon"/>
        <s v="Jose Maria Yazpik"/>
        <s v="Robert Sean Leonard"/>
        <s v="Vanessa Ferlito"/>
        <s v="Kris Kristofferson"/>
        <s v="Jennifer Lopez"/>
        <s v="Amy Adams"/>
        <s v="Larry King"/>
        <s v="Adolph Caesar"/>
        <s v="Rowena King"/>
        <s v="Billy West"/>
        <s v="Gene Hackman"/>
        <s v="Wagner Moura"/>
        <s v="Christopher McDonald"/>
        <s v="Anthony Hopkins"/>
        <s v="William Sanderson"/>
        <s v="Michael Ealy"/>
        <s v="Greg Kinnear"/>
        <s v="Lilo Brancato"/>
        <s v="Benedict Cumberbatch"/>
        <s v="Julia Stiles"/>
        <s v="William Bassett"/>
        <s v="Steve Toussaint"/>
        <s v="Jamal Duff"/>
        <s v="Paul Mazursky"/>
        <s v="Jemma McKenzie-Brown"/>
        <s v="Tyler Perry"/>
        <s v="Jennifer Beals"/>
        <s v="Stacy Keach"/>
        <s v="Sean Penn"/>
        <s v="Michael Irby"/>
        <s v="Peter Michael Goetz"/>
        <s v="Eli Russell Linnetz"/>
        <s v="Katherine Heigl"/>
        <s v="Odette Yustman"/>
        <s v="Patton Oswalt"/>
        <s v="Jason Segel"/>
        <s v="Kevin Costner"/>
        <s v="Matt McCoy"/>
        <s v="Rolf Saxon"/>
        <s v="Matt Clark"/>
        <s v="Shawnee Smith"/>
        <s v="Adrienne Barbeau"/>
        <s v="Ellen Bry"/>
        <s v="James Tolkan"/>
        <s v="Lindsay Lohan"/>
        <s v="Quvenzhané Wallis"/>
        <s v="Leslie Nielsen"/>
        <s v="Veronica Taylor"/>
        <s v="Tom Kenny"/>
        <s v="Al Matthews"/>
        <s v="George Dzundza"/>
        <s v="Katie Featherston"/>
        <s v="Noah Schnapp"/>
        <s v="Martin Lawrence"/>
        <s v="Annabelle Wallis"/>
        <s v="Freddie Prinze, Jr."/>
        <s v="Dylan Walsh"/>
        <s v="Cree Summer"/>
        <s v="Max Perlich"/>
        <s v="David Duchovny"/>
        <s v="Richard Dreyfuss"/>
        <s v="Sam Worthington"/>
        <s v="Patrick Wilson"/>
        <s v="Michelle Rodriguez"/>
        <s v="Kareem Abdul-Jabbar"/>
        <s v="Bill Murray"/>
        <s v="Kate Mara"/>
        <s v="Dominic Scott Kay"/>
        <s v="Taylor Lautner"/>
        <s v="Evangeline Lilly"/>
        <s v="William H. Macy"/>
        <s v="Damon Wayans Jr."/>
        <s v="Steven Seagal"/>
        <s v="Tracy Morgan"/>
        <s v="Kate Butler"/>
        <s v="Steve Martin"/>
        <s v="Greg Ellis"/>
        <s v="Thomas Kretschmann"/>
        <s v="Moon Bloodgood"/>
        <s v="Jack Black"/>
        <s v="Steve Guttenberg"/>
        <s v="Diane Lane"/>
        <s v="Jack McGee"/>
        <s v="Cuba Gooding, Jr."/>
        <s v="Peter Gallagher"/>
        <s v="Ryan Gosling"/>
        <s v="Yaphet Kotto"/>
        <s v="Jill Eikenberry"/>
        <s v="Robert Davi"/>
        <s v="Paul Michael Glaser"/>
        <s v="Jessica Biel"/>
        <s v="Tommy Flanagan"/>
        <s v="M.C. Gainey"/>
        <s v="Drew Barrymore"/>
        <s v="Matt Craven"/>
        <s v="T.J. Miller"/>
        <s v="Tisha Campbell-Martin"/>
        <s v="Scott Porter"/>
        <s v="Charlton Heston"/>
        <s v="D.G. Maloney"/>
        <s v="Jeremy Irvine"/>
        <s v="Richard Roundtree"/>
        <s v="Barry Bostwick"/>
        <s v="Brandon T. Jackson"/>
        <s v="Fred Dalton Thompson"/>
        <s v="Jack Thibeau"/>
        <s v="Peter Appel"/>
        <s v="Robin Bartlett"/>
        <s v="Naveen Andrews"/>
        <s v="Michael Berresse"/>
        <s v="Lisa Banes"/>
        <s v="Bill Campbell"/>
        <s v="Ford Keirnan"/>
        <s v="Jason James Richter"/>
        <s v="Tony Curran"/>
        <s v="Morgan Freeman"/>
        <s v="Catherin O'Hara"/>
        <s v="Brian Kerwin"/>
        <s v="David Warner"/>
        <s v="Woody Harrelson"/>
        <s v="Hugh Bonneville"/>
        <s v="Steve Kahan"/>
        <s v="Lori Singer"/>
        <s v="Martin Klebba"/>
        <s v="Seth MacFarlane"/>
        <s v="Tom Wright"/>
        <s v="Amber Valletta"/>
        <s v="Robert De Niro"/>
        <s v="Matt Dillon"/>
        <s v="Dennis Quaid"/>
        <s v="Andrew Bryniarski"/>
        <s v="Brent Spiner"/>
        <s v="Laz Alonso"/>
        <s v="Jessalyn Gilsig"/>
        <s v="Breckin Meyer"/>
        <s v="Robert Bailey, Jr."/>
        <s v="Luke Wilson"/>
        <s v="Gary Lewis"/>
        <s v="Barbra Streisand"/>
        <s v="Balthazar Getty"/>
        <s v="Javier Bardem"/>
        <s v="Katie Holmes"/>
        <s v="Anna Maria Horsford"/>
        <s v="Ben Kingsley"/>
        <s v="Caroline Rhea"/>
        <s v="Rob Reiner"/>
        <s v="Mitchel Musso"/>
        <s v="Erinn Bartlett"/>
        <s v="Jason Babinsky"/>
        <s v="Mark Ettlinger"/>
        <s v="James Cromwell"/>
        <s v="Joey Slotnick"/>
        <s v="Taylor Kitsch"/>
        <s v="Robinne Lee"/>
        <s v="Ron Livingston"/>
        <s v="Justin Bieber"/>
        <s v="Sam Jaffe"/>
        <s v="Phil Proctor"/>
        <s v="Dave England"/>
        <s v="Harry Connick, Jr."/>
        <s v="Matthew Fox"/>
        <s v="Patti D'Arbanville"/>
        <s v="Michael Jackson"/>
        <s v="Roger Clinton"/>
        <s v="Audrey Hepburn"/>
        <s v="Len Cariou"/>
        <s v="David Schofield"/>
        <s v="Harvey Keitel"/>
        <s v="Randall 'Tex' Cobb"/>
        <s v="Frank Grillo"/>
        <s v="Thomas Haden Church"/>
        <s v="Sophia Loren"/>
        <s v="Annie Corley"/>
        <s v="Wayne Pere"/>
        <s v="Josh Duhamel"/>
        <s v="James Spader"/>
        <s v="Fiona Shaw"/>
        <s v="Diane Ladd"/>
        <s v="John Wood"/>
        <s v="Freddie Highmore"/>
        <s v="Raini Rodriguez"/>
        <s v="Hank Azaria"/>
        <s v="Joan Severance"/>
        <s v="James Gammon"/>
        <s v="Ousaun Elam"/>
        <s v="Bridgette Wilson"/>
        <s v="Dale Dye"/>
        <s v="Bernard Lee"/>
        <s v="Ewen Bremner"/>
        <s v="Derek Jacobi"/>
        <s v="Julie Dreyfus"/>
        <s v="Roselyn Sanchez"/>
        <s v="Udo Kier"/>
        <s v="Goldie Hawn"/>
        <s v="Dolly Parton"/>
      </sharedItems>
    </cacheField>
    <cacheField name="Sequel" numFmtId="0">
      <sharedItems/>
    </cacheField>
    <cacheField name="Domestic Box Office" numFmtId="164">
      <sharedItems containsSemiMixedTypes="0" containsString="0" containsNumber="1" containsInteger="1" minValue="69701637" maxValue="760507625"/>
    </cacheField>
    <cacheField name="International Box Office" numFmtId="165">
      <sharedItems containsSemiMixedTypes="0" containsString="0" containsNumber="1" containsInteger="1" minValue="0" maxValue="2023411357" count="804">
        <n v="2023411357"/>
        <n v="1548943366"/>
        <n v="1016713244"/>
        <n v="896200000"/>
        <n v="469546000"/>
        <n v="552500000"/>
        <n v="325600000"/>
        <n v="945700000"/>
        <n v="636300000"/>
        <n v="495781885"/>
        <n v="357854772"/>
        <n v="440200000"/>
        <n v="642900000"/>
        <n v="564700000"/>
        <n v="654813349"/>
        <n v="806400000"/>
        <n v="269912687"/>
        <n v="418000000"/>
        <n v="434407829"/>
        <n v="873496971"/>
        <n v="643104279"/>
        <n v="960500000"/>
        <n v="555900000"/>
        <n v="468728300"/>
        <n v="763562762"/>
        <n v="410180516"/>
        <n v="251637737"/>
        <n v="606808379"/>
        <n v="494300000"/>
        <n v="771400000"/>
        <n v="1165213799"/>
        <n v="197200000"/>
        <n v="592154195"/>
        <n v="372500000"/>
        <n v="554345000"/>
        <n v="825868529"/>
        <n v="691300000"/>
        <n v="438000000"/>
        <n v="349706026"/>
        <n v="484610992"/>
        <n v="389026399"/>
        <n v="263839000"/>
        <n v="657179821"/>
        <n v="469534294"/>
        <n v="571672938"/>
        <n v="311128000"/>
        <n v="654000000"/>
        <n v="263500000"/>
        <n v="511231623"/>
        <n v="329542879"/>
        <n v="806166704"/>
        <n v="714000000"/>
        <n v="346018875"/>
        <n v="633124489"/>
        <n v="405571077"/>
        <n v="390934093"/>
        <n v="664300000"/>
        <n v="379300000"/>
        <n v="438538457"/>
        <n v="540008221"/>
        <n v="537400000"/>
        <n v="650939197"/>
        <n v="428828615"/>
        <n v="376954000"/>
        <n v="243900000"/>
        <n v="606898042"/>
        <n v="270334294"/>
        <n v="457023240"/>
        <n v="408132918"/>
        <n v="237400000"/>
        <n v="190923432"/>
        <n v="188441583"/>
        <n v="442300000"/>
        <n v="475100000"/>
        <n v="224157783"/>
        <n v="100019072"/>
        <n v="616991754"/>
        <n v="353285660"/>
        <n v="85096578"/>
        <n v="210700000"/>
        <n v="454100000"/>
        <n v="702000000"/>
        <n v="199944670"/>
        <n v="127950427"/>
        <n v="329139674"/>
        <n v="49746319"/>
        <n v="700000000"/>
        <n v="332000000"/>
        <n v="291981048"/>
        <n v="330707025"/>
        <n v="337100000"/>
        <n v="547149597"/>
        <n v="160160000"/>
        <n v="141766000"/>
        <n v="265506097"/>
        <n v="858600000"/>
        <n v="217568264"/>
        <n v="240768967"/>
        <n v="53000000"/>
        <n v="254011615"/>
        <n v="133451826"/>
        <n v="517000000"/>
        <n v="804600000"/>
        <n v="551272961"/>
        <n v="517507886"/>
        <n v="317324350"/>
        <n v="254800000"/>
        <n v="284000000"/>
        <n v="372556181"/>
        <n v="193598374"/>
        <n v="81539522"/>
        <n v="389552320"/>
        <n v="238200000"/>
        <n v="180300000"/>
        <n v="396287998"/>
        <n v="214690492"/>
        <n v="121261546"/>
        <n v="308782830"/>
        <n v="429600000"/>
        <n v="237364303"/>
        <n v="223868601"/>
        <n v="232470000"/>
        <n v="222090952"/>
        <n v="337350887"/>
        <n v="332437332"/>
        <n v="277289760"/>
        <n v="550284321"/>
        <n v="145278059"/>
        <n v="530529789"/>
        <n v="268700000"/>
        <n v="416475940"/>
        <n v="334178627"/>
        <n v="192761855"/>
        <n v="136946253"/>
        <n v="79620837"/>
        <n v="173265100"/>
        <n v="243546996"/>
        <n v="420132129"/>
        <n v="485315327"/>
        <n v="74000000"/>
        <n v="289409533"/>
        <n v="286700000"/>
        <n v="495000000"/>
        <n v="261400000"/>
        <n v="269366408"/>
        <n v="420104041"/>
        <n v="427000000"/>
        <n v="299968694"/>
        <n v="104292551"/>
        <n v="153798948"/>
        <n v="197867132"/>
        <n v="329154939"/>
        <n v="233032755"/>
        <n v="311956655"/>
        <n v="353021818"/>
        <n v="178591415"/>
        <n v="385760000"/>
        <n v="239685706"/>
        <n v="173965065"/>
        <n v="191844722"/>
        <n v="250700000"/>
        <n v="183335854"/>
        <n v="187000000"/>
        <n v="663128152"/>
        <n v="277000000"/>
        <n v="456568661"/>
        <n v="505825986"/>
        <n v="124100000"/>
        <n v="362964045"/>
        <n v="209510305"/>
        <n v="139614539"/>
        <n v="172749283"/>
        <n v="368704508"/>
        <n v="66734085"/>
        <n v="251349000"/>
        <n v="477400000"/>
        <n v="270000000"/>
        <n v="385900000"/>
        <n v="348815025"/>
        <n v="369578651"/>
        <n v="299787811"/>
        <n v="0"/>
        <n v="152498032"/>
        <n v="102847847"/>
        <n v="267311379"/>
        <n v="343936008"/>
        <n v="191300000"/>
        <n v="146093000"/>
        <n v="91138308"/>
        <n v="205700000"/>
        <n v="121300000"/>
        <n v="184733885"/>
        <n v="268295994"/>
        <n v="276716108"/>
        <n v="182200000"/>
        <n v="419505894"/>
        <n v="177000000"/>
        <n v="337900000"/>
        <n v="475192631"/>
        <n v="189000000"/>
        <n v="208688443"/>
        <n v="224987342"/>
        <n v="439100000"/>
        <n v="306100000"/>
        <n v="193915271"/>
        <n v="175183320"/>
        <n v="183615348"/>
        <n v="209728938"/>
        <n v="112500000"/>
        <n v="239991158"/>
        <n v="254239604"/>
        <n v="153200000"/>
        <n v="46837892"/>
        <n v="158318408"/>
        <n v="142311944"/>
        <n v="169839557"/>
        <n v="225500000"/>
        <n v="162029504"/>
        <n v="292037453"/>
        <n v="277100000"/>
        <n v="81033923"/>
        <n v="146959062"/>
        <n v="137000000"/>
        <n v="185409334"/>
        <n v="43414417"/>
        <n v="422323651"/>
        <n v="120420305"/>
        <n v="84800000"/>
        <n v="153400000"/>
        <n v="239974565"/>
        <n v="200800000"/>
        <n v="427055283"/>
        <n v="138374859"/>
        <n v="404288027"/>
        <n v="622296372"/>
        <n v="171700000"/>
        <n v="242900000"/>
        <n v="225006092"/>
        <n v="499588484"/>
        <n v="185008014"/>
        <n v="191005491"/>
        <n v="150751686"/>
        <n v="65161488"/>
        <n v="330000000"/>
        <n v="123000000"/>
        <n v="148600000"/>
        <n v="103990656"/>
        <n v="262568254"/>
        <n v="200296754"/>
        <n v="144739597"/>
        <n v="110222244"/>
        <n v="28700000"/>
        <n v="210505043"/>
        <n v="718443294"/>
        <n v="38963601"/>
        <n v="271000000"/>
        <n v="70146187"/>
        <n v="112000000"/>
        <n v="32201108"/>
        <n v="120180229"/>
        <n v="133229638"/>
        <n v="261000000"/>
        <n v="314400000"/>
        <n v="245880169"/>
        <n v="208000000"/>
        <n v="180983641"/>
        <n v="111000000"/>
        <n v="144948447"/>
        <n v="219500000"/>
        <n v="120047408"/>
        <n v="262600000"/>
        <n v="157880669"/>
        <n v="197387508"/>
        <n v="125067070"/>
        <n v="149984568"/>
        <n v="117422157"/>
        <n v="282700000"/>
        <n v="152267519"/>
        <n v="107760487"/>
        <n v="120507734"/>
        <n v="405726973"/>
        <n v="293359282"/>
        <n v="70504187"/>
        <n v="163454307"/>
        <n v="162211974"/>
        <n v="173471355"/>
        <n v="197594315"/>
        <n v="14657148"/>
        <n v="126447783"/>
        <n v="165633912"/>
        <n v="39568572"/>
        <n v="219017589"/>
        <n v="100028473"/>
        <n v="141403180"/>
        <n v="81940596"/>
        <n v="206200000"/>
        <n v="203828562"/>
        <n v="44966643"/>
        <n v="62000000"/>
        <n v="150000000"/>
        <n v="458370497"/>
        <n v="343900000"/>
        <n v="87954837"/>
        <n v="104658260"/>
        <n v="421135165"/>
        <n v="80046014"/>
        <n v="125270000"/>
        <n v="275719798"/>
        <n v="205520227"/>
        <n v="243199737"/>
        <n v="104113136"/>
        <n v="107760901"/>
        <n v="95159822"/>
        <n v="209000000"/>
        <n v="116459914"/>
        <n v="158800000"/>
        <n v="237953117"/>
        <n v="174968473"/>
        <n v="142913876"/>
        <n v="288029350"/>
        <n v="33600000"/>
        <n v="292023719"/>
        <n v="51100000"/>
        <n v="134400000"/>
        <n v="64364762"/>
        <n v="87500000"/>
        <n v="177853834"/>
        <n v="218400000"/>
        <n v="180600000"/>
        <n v="100329456"/>
        <n v="153900000"/>
        <n v="172207319"/>
        <n v="91115254"/>
        <n v="60100000"/>
        <n v="174657158"/>
        <n v="67158032"/>
        <n v="157011187"/>
        <n v="133533589"/>
        <n v="223100000"/>
        <n v="128611000"/>
        <n v="247758744"/>
        <n v="40854658"/>
        <n v="207907909"/>
        <n v="165981982"/>
        <n v="19530700"/>
        <n v="202000000"/>
        <n v="113355283"/>
        <n v="264000000"/>
        <n v="357500000"/>
        <n v="350862688"/>
        <n v="215981134"/>
        <n v="32000000"/>
        <n v="283900000"/>
        <n v="157276304"/>
        <n v="91994850"/>
        <n v="113052000"/>
        <n v="104319495"/>
        <n v="226800000"/>
        <n v="156293581"/>
        <n v="187941694"/>
        <n v="362200000"/>
        <n v="142186002"/>
        <n v="173381071"/>
        <n v="165100000"/>
        <n v="137820811"/>
        <n v="226200000"/>
        <n v="91975828"/>
        <n v="154955397"/>
        <n v="119124462"/>
        <n v="145000000"/>
        <n v="132937284"/>
        <n v="276300000"/>
        <n v="132500000"/>
        <n v="85132192"/>
        <n v="171448848"/>
        <n v="75500000"/>
        <n v="212677264"/>
        <n v="202300000"/>
        <n v="44833047"/>
        <n v="67040820"/>
        <n v="55151042"/>
        <n v="119224626"/>
        <n v="109290549"/>
        <n v="130968566"/>
        <n v="234800000"/>
        <n v="172110266"/>
        <n v="160963300"/>
        <n v="324000000"/>
        <n v="272528622"/>
        <n v="44976083"/>
        <n v="82360532"/>
        <n v="120498675"/>
        <n v="132256558"/>
        <n v="237457442"/>
        <n v="138500000"/>
        <n v="227968792"/>
        <n v="240169323"/>
        <n v="134430545"/>
        <n v="214200000"/>
        <n v="24709031"/>
        <n v="72604130"/>
        <n v="483000000"/>
        <n v="178700000"/>
        <n v="111957402"/>
        <n v="201332695"/>
        <n v="142000000"/>
        <n v="84192524"/>
        <n v="172500000"/>
        <n v="57700000"/>
        <n v="43000000"/>
        <n v="122246993"/>
        <n v="249400000"/>
        <n v="85487344"/>
        <n v="92888411"/>
        <n v="48491916"/>
        <n v="160647699"/>
        <n v="75547664"/>
        <n v="196140670"/>
        <n v="182879746"/>
        <n v="161951855"/>
        <n v="28437488"/>
        <n v="180000000"/>
        <n v="48165518"/>
        <n v="231700000"/>
        <n v="154599082"/>
        <n v="65983182"/>
        <n v="68188093"/>
        <n v="27000000"/>
        <n v="126000000"/>
        <n v="61400000"/>
        <n v="85959151"/>
        <n v="51716492"/>
        <n v="102034442"/>
        <n v="84000000"/>
        <n v="51634572"/>
        <n v="87024032"/>
        <n v="94328907"/>
        <n v="75028680"/>
        <n v="172339126"/>
        <n v="234000000"/>
        <n v="56000000"/>
        <n v="94879042"/>
        <n v="122490147"/>
        <n v="107764853"/>
        <n v="54456101"/>
        <n v="194600000"/>
        <n v="275076029"/>
        <n v="90277151"/>
        <n v="101219116"/>
        <n v="61100000"/>
        <n v="129045127"/>
        <n v="60393403"/>
        <n v="114600000"/>
        <n v="247638548"/>
        <n v="120000000"/>
        <n v="23700000"/>
        <n v="234972776"/>
        <n v="113742993"/>
        <n v="134978505"/>
        <n v="21051932"/>
        <n v="96807196"/>
        <n v="47640460"/>
        <n v="25000000"/>
        <n v="53464968"/>
        <n v="143444114"/>
        <n v="213961450"/>
        <n v="107423654"/>
        <n v="242800000"/>
        <n v="56828182"/>
        <n v="79790134"/>
        <n v="101969658"/>
        <n v="36700000"/>
        <n v="167152050"/>
        <n v="85000000"/>
        <n v="63151000"/>
        <n v="111879369"/>
        <n v="128923854"/>
        <n v="249800000"/>
        <n v="104663612"/>
        <n v="56091364"/>
        <n v="288954280"/>
        <n v="139100000"/>
        <n v="158300000"/>
        <n v="345700000"/>
        <n v="122300000"/>
        <n v="92468919"/>
        <n v="107083674"/>
        <n v="80629943"/>
        <n v="50600000"/>
        <n v="76921753"/>
        <n v="111366960"/>
        <n v="29075506"/>
        <n v="103005262"/>
        <n v="45199918"/>
        <n v="181200000"/>
        <n v="110756521"/>
        <n v="130300000"/>
        <n v="67894993"/>
        <n v="63244763"/>
        <n v="213549998"/>
        <n v="43500000"/>
        <n v="51052340"/>
        <n v="152978119"/>
        <n v="104039937"/>
        <n v="57090000"/>
        <n v="80572288"/>
        <n v="86264224"/>
        <n v="105000000"/>
        <n v="155275759"/>
        <n v="76558558"/>
        <n v="24906141"/>
        <n v="130992619"/>
        <n v="113511767"/>
        <n v="224312032"/>
        <n v="70000000"/>
        <n v="106613284"/>
        <n v="121000000"/>
        <n v="224200000"/>
        <n v="30000000"/>
        <n v="70136827"/>
        <n v="250000000"/>
        <n v="73083262"/>
        <n v="76000000"/>
        <n v="216971858"/>
        <n v="350400000"/>
        <n v="69200000"/>
        <n v="118300000"/>
        <n v="77900000"/>
        <n v="47400000"/>
        <n v="166596479"/>
        <n v="297154830"/>
        <n v="313800000"/>
        <n v="150980157"/>
        <n v="60136806"/>
        <n v="79300000"/>
        <n v="98024579"/>
        <n v="214285872"/>
        <n v="203488144"/>
        <n v="51600000"/>
        <n v="165199650"/>
        <n v="111946844"/>
        <n v="105978000"/>
        <n v="165203000"/>
        <n v="47000000"/>
        <n v="105762065"/>
        <n v="80239000"/>
        <n v="136858177"/>
        <n v="243100000"/>
        <n v="107812451"/>
        <n v="303268449"/>
        <n v="58900000"/>
        <n v="309200000"/>
        <n v="132922200"/>
        <n v="141476567"/>
        <n v="131000000"/>
        <n v="90634545"/>
        <n v="76625826"/>
        <n v="68607617"/>
        <n v="133104438"/>
        <n v="159985941"/>
        <n v="117200000"/>
        <n v="251631021"/>
        <n v="106000000"/>
        <n v="32800000"/>
        <n v="81383965"/>
        <n v="126385672"/>
        <n v="64979671"/>
        <n v="87227803"/>
        <n v="102111747"/>
        <n v="111200000"/>
        <n v="40400000"/>
        <n v="82000000"/>
        <n v="131524199"/>
        <n v="68825698"/>
        <n v="115156141"/>
        <n v="73841639"/>
        <n v="104528679"/>
        <n v="179182206"/>
        <n v="75669764"/>
        <n v="181971806"/>
        <n v="264200000"/>
        <n v="117500000"/>
        <n v="225361149"/>
        <n v="162300000"/>
        <n v="228000000"/>
        <n v="102892154"/>
        <n v="85100000"/>
        <n v="266089167"/>
        <n v="93770307"/>
        <n v="58000000"/>
        <n v="59000000"/>
        <n v="170700000"/>
        <n v="106492683"/>
        <n v="130375461"/>
        <n v="53557629"/>
        <n v="73369937"/>
        <n v="66881404"/>
        <n v="72730548"/>
        <n v="128300000"/>
        <n v="78335068"/>
        <n v="115178089"/>
        <n v="127959441"/>
        <n v="111242369"/>
        <n v="45315809"/>
        <n v="38891719"/>
        <n v="69541295"/>
        <n v="225298388"/>
        <n v="86196168"/>
        <n v="63300000"/>
        <n v="199333086"/>
        <n v="100339718"/>
        <n v="101000000"/>
        <n v="153100000"/>
        <n v="63915758"/>
        <n v="174281477"/>
        <n v="59703766"/>
        <n v="143639884"/>
        <n v="233103872"/>
        <n v="69905321"/>
        <n v="118985751"/>
        <n v="65811783"/>
        <n v="139871255"/>
        <n v="200329138"/>
        <n v="55839136"/>
        <n v="81344313"/>
        <n v="111900000"/>
        <n v="107324849"/>
        <n v="105688391"/>
        <n v="159736466"/>
        <n v="193141974"/>
        <n v="113500000"/>
        <n v="60380619"/>
        <n v="57972112"/>
        <n v="68000000"/>
        <n v="89000000"/>
        <n v="136648543"/>
        <n v="223834921"/>
        <n v="88000000"/>
        <n v="55942785"/>
        <n v="61700000"/>
        <n v="75310634"/>
        <n v="58700000"/>
        <n v="183833464"/>
        <n v="85716272"/>
        <n v="106059531"/>
        <n v="129500000"/>
        <n v="66686829"/>
        <n v="124685916"/>
        <n v="80000000"/>
        <n v="238400000"/>
        <n v="72700000"/>
        <n v="198809398"/>
        <n v="116383693"/>
        <n v="110542312"/>
        <n v="134282571"/>
        <n v="72346000"/>
        <n v="97164028"/>
        <n v="176000000"/>
        <n v="84970903"/>
        <n v="123992604"/>
        <n v="156033371"/>
        <n v="131380170"/>
        <n v="107000000"/>
        <n v="65900000"/>
        <n v="97818375"/>
        <n v="55000000"/>
        <n v="53929263"/>
        <n v="178417032"/>
        <n v="56634646"/>
        <n v="165061521"/>
        <n v="115000000"/>
        <n v="98156207"/>
        <n v="226951064"/>
        <n v="94000000"/>
        <n v="92759125"/>
        <n v="62791131"/>
        <n v="106826899"/>
        <n v="124000000"/>
        <n v="166400000"/>
        <n v="97000000"/>
        <n v="101996258"/>
        <n v="170950789"/>
        <n v="105278110"/>
        <n v="83019358"/>
        <n v="221600000"/>
        <n v="129911547"/>
        <n v="128058418"/>
        <n v="284300000"/>
        <n v="94812637"/>
        <n v="120824345"/>
        <n v="93968412"/>
        <n v="203868448"/>
        <n v="129184911"/>
        <n v="73000000"/>
        <n v="92882839"/>
        <n v="61000000"/>
        <n v="52444157"/>
        <n v="54500000"/>
        <n v="56741544"/>
        <n v="55750649"/>
        <n v="76700000"/>
        <n v="112800000"/>
        <n v="134996812"/>
        <n v="72661713"/>
        <n v="87948667"/>
        <n v="80100000"/>
        <n v="141020000"/>
        <n v="134387223"/>
        <n v="50684126"/>
        <n v="142468684"/>
        <n v="76693167"/>
        <n v="71000000"/>
        <n v="181362621"/>
        <n v="122700000"/>
        <n v="57759104"/>
        <n v="126024779"/>
        <n v="218500000"/>
        <n v="141600000"/>
        <n v="90444659"/>
        <n v="92262423"/>
        <n v="138258062"/>
        <n v="83638091"/>
        <n v="137300000"/>
        <n v="91253793"/>
        <n v="62018667"/>
        <n v="76932170"/>
        <n v="156800000"/>
        <n v="89597017"/>
        <n v="153700000"/>
        <n v="76315464"/>
        <n v="179113992"/>
        <n v="103200000"/>
        <n v="154130000"/>
        <n v="75000000"/>
        <n v="164819305"/>
        <n v="153000000"/>
        <n v="157283311"/>
        <n v="133339902"/>
        <n v="75441402"/>
        <n v="80671128"/>
        <n v="53061763"/>
        <n v="74500000"/>
        <n v="105394121"/>
        <n v="140000000"/>
        <n v="83439151"/>
        <n v="101203653"/>
        <n v="182328335"/>
        <n v="132336603"/>
        <n v="183317852"/>
        <n v="66664728"/>
        <n v="86000000"/>
        <n v="113296587"/>
        <n v="100500000"/>
        <n v="79932634"/>
        <n v="84401560"/>
        <n v="170138834"/>
        <n v="61893497"/>
        <n v="56880555"/>
        <n v="77402069"/>
        <n v="133500000"/>
        <n v="145618733"/>
        <n v="111500000"/>
        <n v="132726857"/>
        <n v="86200000"/>
        <n v="119600000"/>
        <n v="69456624"/>
        <n v="174457952"/>
        <n v="90460706"/>
        <n v="89777745"/>
        <n v="76361060"/>
        <n v="84650000"/>
        <n v="106183277"/>
        <n v="81190583"/>
        <n v="104400000"/>
        <n v="67606360"/>
        <n v="91400000"/>
        <n v="108600000"/>
        <n v="57802054"/>
        <n v="117990660"/>
        <n v="209719421"/>
        <n v="94829853"/>
        <n v="90045676"/>
        <n v="78620023"/>
        <n v="91094722"/>
        <n v="59277742"/>
        <n v="76467386"/>
        <n v="102300000"/>
        <n v="210026602"/>
        <n v="104000000"/>
        <n v="190222267"/>
        <n v="125000000"/>
        <n v="69911681"/>
        <n v="91644614"/>
        <n v="277529739"/>
        <n v="67719000"/>
        <n v="78565858"/>
        <n v="77700000"/>
        <n v="88256141"/>
        <n v="134994502"/>
        <n v="93016761"/>
        <n v="106371290"/>
        <n v="61095812"/>
        <n v="96665504"/>
        <n v="77307444"/>
      </sharedItems>
    </cacheField>
    <cacheField name="Best Picture Winner" numFmtId="165">
      <sharedItems containsBlank="1" count="2">
        <m/>
        <s v="Y"/>
      </sharedItems>
    </cacheField>
    <cacheField name="Production Budget" numFmtId="165">
      <sharedItems containsSemiMixedTypes="0" containsString="0" containsNumber="1" containsInteger="1" minValue="0" maxValue="425000000"/>
    </cacheField>
    <cacheField name="Field1" numFmtId="0" formula=" 0" databaseField="0"/>
    <cacheField name="Total Box Office" numFmtId="0" formula="'Domestic Box Office'+'International Box Office'" databaseField="0"/>
  </cacheFields>
  <extLst>
    <ext xmlns:x14="http://schemas.microsoft.com/office/spreadsheetml/2009/9/main" uri="{725AE2AE-9491-48be-B2B4-4EB974FC3084}">
      <x14:pivotCacheDefinition pivotCacheId="603820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Avatar"/>
    <n v="80"/>
    <x v="0"/>
    <x v="0"/>
    <n v="12235"/>
    <s v="Dileep Rao"/>
    <s v="No"/>
    <n v="760507625"/>
    <n v="2023411357"/>
    <m/>
    <n v="425000000"/>
  </r>
  <r>
    <n v="2"/>
    <s v="Titanic"/>
    <n v="50"/>
    <x v="1"/>
    <x v="1"/>
    <n v="15205"/>
    <s v="Leonardo DiCaprio"/>
    <s v="No"/>
    <n v="658672302"/>
    <n v="1548943366"/>
    <m/>
    <n v="200000000"/>
  </r>
  <r>
    <n v="3"/>
    <s v="Jurassic World"/>
    <n v="80"/>
    <x v="0"/>
    <x v="2"/>
    <n v="11410"/>
    <s v="Chris Pratt"/>
    <s v="Yes"/>
    <n v="652188220"/>
    <n v="1016713244"/>
    <m/>
    <n v="215000000"/>
  </r>
  <r>
    <n v="4"/>
    <s v="The Avengers"/>
    <n v="90"/>
    <x v="2"/>
    <x v="3"/>
    <n v="17830"/>
    <s v="Scarlett Johansson"/>
    <s v="No"/>
    <n v="623279547"/>
    <n v="896200000"/>
    <m/>
    <n v="225000000"/>
  </r>
  <r>
    <n v="5"/>
    <s v="The Dark Knight"/>
    <n v="90"/>
    <x v="2"/>
    <x v="4"/>
    <n v="11545"/>
    <s v="Cillian Murphy"/>
    <s v="Yes"/>
    <n v="533345358"/>
    <n v="469546000"/>
    <m/>
    <n v="185000000"/>
  </r>
  <r>
    <n v="6"/>
    <s v="Star Wars Ep. I: The Phantom Menace"/>
    <n v="80"/>
    <x v="0"/>
    <x v="5"/>
    <n v="10270"/>
    <s v="Andrew Secombe"/>
    <s v="Yes"/>
    <n v="474544677"/>
    <n v="552500000"/>
    <m/>
    <n v="115000000"/>
  </r>
  <r>
    <n v="7"/>
    <s v="Star Wars Ep. IV: A New Hope"/>
    <n v="80"/>
    <x v="0"/>
    <x v="6"/>
    <n v="13120"/>
    <s v="Harrison Ford"/>
    <s v="No"/>
    <n v="460935665"/>
    <n v="325600000"/>
    <m/>
    <n v="11000000"/>
  </r>
  <r>
    <n v="8"/>
    <s v="The Avengers: Age of Ultron"/>
    <n v="90"/>
    <x v="2"/>
    <x v="2"/>
    <n v="11575"/>
    <s v="Claudia Kim"/>
    <s v="Yes"/>
    <n v="459005868"/>
    <n v="945700000"/>
    <m/>
    <n v="250000000"/>
  </r>
  <r>
    <n v="9"/>
    <s v="The Dark Knight Rises"/>
    <n v="90"/>
    <x v="2"/>
    <x v="3"/>
    <n v="11455"/>
    <s v="Christian Bale"/>
    <s v="Yes"/>
    <n v="448139099"/>
    <n v="636300000"/>
    <m/>
    <n v="275000000"/>
  </r>
  <r>
    <n v="10"/>
    <s v="Shrek 2"/>
    <n v="60"/>
    <x v="3"/>
    <x v="7"/>
    <n v="16180"/>
    <s v="Mike Myers"/>
    <s v="Yes"/>
    <n v="436471036"/>
    <n v="495781885"/>
    <m/>
    <n v="70000000"/>
  </r>
  <r>
    <n v="11"/>
    <s v="ET: The Extra-Terrestrial"/>
    <n v="60"/>
    <x v="3"/>
    <x v="8"/>
    <n v="16000"/>
    <s v="Michael Durrell"/>
    <s v="No"/>
    <n v="434949459"/>
    <n v="357854772"/>
    <m/>
    <n v="10500000"/>
  </r>
  <r>
    <n v="12"/>
    <s v="The Hunger Games: Catching Fire"/>
    <n v="80"/>
    <x v="0"/>
    <x v="9"/>
    <n v="16960"/>
    <s v="Philip Seymour Hoffman"/>
    <s v="Yes"/>
    <n v="424668047"/>
    <n v="440200000"/>
    <m/>
    <n v="130000000"/>
  </r>
  <r>
    <n v="13"/>
    <s v="Pirates of the Caribbean: Dead Man's Chest"/>
    <n v="40"/>
    <x v="4"/>
    <x v="10"/>
    <n v="14350"/>
    <s v="Johnny Depp"/>
    <s v="Yes"/>
    <n v="423315812"/>
    <n v="642900000"/>
    <m/>
    <n v="225000000"/>
  </r>
  <r>
    <n v="14"/>
    <s v="The Lion King"/>
    <n v="60"/>
    <x v="3"/>
    <x v="11"/>
    <n v="17560"/>
    <s v="Rowan Atkinson"/>
    <s v="No"/>
    <n v="422780140"/>
    <n v="564700000"/>
    <m/>
    <n v="79300000"/>
  </r>
  <r>
    <n v="15"/>
    <s v="Toy Story 3"/>
    <n v="60"/>
    <x v="3"/>
    <x v="12"/>
    <n v="18580"/>
    <s v="Tim Allen"/>
    <s v="Yes"/>
    <n v="415004880"/>
    <n v="654813349"/>
    <m/>
    <n v="200000000"/>
  </r>
  <r>
    <n v="16"/>
    <s v="Iron Man 3"/>
    <n v="90"/>
    <x v="2"/>
    <x v="3"/>
    <n v="17335"/>
    <s v="Robert Downey, Jr."/>
    <s v="Yes"/>
    <n v="408992272"/>
    <n v="806400000"/>
    <m/>
    <n v="200000000"/>
  </r>
  <r>
    <n v="17"/>
    <s v="The Hunger Games"/>
    <n v="80"/>
    <x v="0"/>
    <x v="13"/>
    <n v="19120"/>
    <s v="Wes Bentley"/>
    <s v="No"/>
    <n v="408010692"/>
    <n v="269912687"/>
    <m/>
    <n v="80000000"/>
  </r>
  <r>
    <n v="18"/>
    <s v="Spider-Man"/>
    <n v="90"/>
    <x v="2"/>
    <x v="14"/>
    <n v="18685"/>
    <s v="Tobey Maguire"/>
    <s v="No"/>
    <n v="403706375"/>
    <n v="418000000"/>
    <m/>
    <n v="139000000"/>
  </r>
  <r>
    <n v="19"/>
    <s v="Transformers: Revenge of the Fallen"/>
    <n v="80"/>
    <x v="0"/>
    <x v="0"/>
    <n v="18055"/>
    <s v="Shia LaBeouf"/>
    <s v="Yes"/>
    <n v="402111870"/>
    <n v="434407829"/>
    <m/>
    <n v="210000000"/>
  </r>
  <r>
    <n v="20"/>
    <s v="Frozen"/>
    <n v="60"/>
    <x v="3"/>
    <x v="9"/>
    <n v="14995"/>
    <s v="Kristen Bell"/>
    <s v="No"/>
    <n v="400738009"/>
    <n v="873496971"/>
    <m/>
    <n v="150000000"/>
  </r>
  <r>
    <n v="21"/>
    <s v="Jurassic Park"/>
    <n v="80"/>
    <x v="0"/>
    <x v="15"/>
    <n v="16165"/>
    <s v="Miguel Sandoval"/>
    <s v="No"/>
    <n v="395708305"/>
    <n v="643104279"/>
    <m/>
    <n v="63000000"/>
  </r>
  <r>
    <n v="22"/>
    <s v="Harry Potter and the Deathly Hallows: Part II"/>
    <n v="40"/>
    <x v="4"/>
    <x v="13"/>
    <n v="14485"/>
    <s v="Josh Herdman"/>
    <s v="Yes"/>
    <n v="381011219"/>
    <n v="960500000"/>
    <m/>
    <n v="125000000"/>
  </r>
  <r>
    <n v="23"/>
    <s v="Finding Nemo"/>
    <n v="60"/>
    <x v="3"/>
    <x v="16"/>
    <n v="14425"/>
    <s v="Jordy Ranft"/>
    <s v="No"/>
    <n v="380529370"/>
    <n v="555900000"/>
    <m/>
    <n v="94000000"/>
  </r>
  <r>
    <n v="24"/>
    <s v="Star Wars Ep. III: Revenge of the Sith"/>
    <n v="80"/>
    <x v="0"/>
    <x v="17"/>
    <n v="13885"/>
    <s v="Jay Laga'aia"/>
    <s v="Yes"/>
    <n v="380270577"/>
    <n v="468728300"/>
    <m/>
    <n v="115000000"/>
  </r>
  <r>
    <n v="25"/>
    <s v="The Lord of the Rings: The Return of the King"/>
    <n v="40"/>
    <x v="4"/>
    <x v="16"/>
    <n v="12445"/>
    <s v="Elijah Wood"/>
    <s v="Yes"/>
    <n v="377845905"/>
    <n v="763562762"/>
    <s v="Y"/>
    <n v="94000000"/>
  </r>
  <r>
    <n v="26"/>
    <s v="Spider-Man 2"/>
    <n v="90"/>
    <x v="2"/>
    <x v="7"/>
    <n v="18685"/>
    <s v="Tobey Maguire"/>
    <s v="Yes"/>
    <n v="373524485"/>
    <n v="410180516"/>
    <m/>
    <n v="200000000"/>
  </r>
  <r>
    <n v="27"/>
    <s v="The Passion of the Christ"/>
    <n v="20"/>
    <x v="5"/>
    <x v="7"/>
    <n v="13555"/>
    <s v="James Caviezel"/>
    <s v="No"/>
    <n v="370782930"/>
    <n v="251637737"/>
    <m/>
    <n v="25000000"/>
  </r>
  <r>
    <n v="28"/>
    <s v="Despicable Me 2"/>
    <n v="60"/>
    <x v="3"/>
    <x v="9"/>
    <n v="18205"/>
    <s v="Steve Carell"/>
    <s v="Yes"/>
    <n v="368065385"/>
    <n v="606808379"/>
    <m/>
    <n v="76000000"/>
  </r>
  <r>
    <n v="29"/>
    <s v="Inside Out"/>
    <n v="60"/>
    <x v="3"/>
    <x v="2"/>
    <n v="15235"/>
    <s v="Lewis Black"/>
    <s v="No"/>
    <n v="356158534"/>
    <n v="494300000"/>
    <m/>
    <n v="175000000"/>
  </r>
  <r>
    <n v="30"/>
    <s v="Transformers: Dark of the Moon"/>
    <n v="80"/>
    <x v="0"/>
    <x v="13"/>
    <n v="18055"/>
    <s v="Shia LaBeouf"/>
    <s v="Yes"/>
    <n v="352390543"/>
    <n v="771400000"/>
    <m/>
    <n v="195000000"/>
  </r>
  <r>
    <n v="31"/>
    <s v="Furious 7"/>
    <n v="10"/>
    <x v="6"/>
    <x v="18"/>
    <n v="19060"/>
    <s v="Vin Diesel"/>
    <s v="Yes"/>
    <n v="351032910"/>
    <n v="1165213799"/>
    <m/>
    <n v="190000000"/>
  </r>
  <r>
    <n v="32"/>
    <s v="American Sniper"/>
    <n v="20"/>
    <x v="5"/>
    <x v="2"/>
    <n v="10945"/>
    <s v="Bradley Cooper"/>
    <s v="No"/>
    <n v="350126372"/>
    <n v="197200000"/>
    <m/>
    <n v="58000000"/>
  </r>
  <r>
    <n v="33"/>
    <s v="The Lord of the Rings: The Two Towers"/>
    <n v="40"/>
    <x v="4"/>
    <x v="14"/>
    <n v="12445"/>
    <s v="Elijah Wood"/>
    <s v="Yes"/>
    <n v="342548984"/>
    <n v="592154195"/>
    <m/>
    <n v="94000000"/>
  </r>
  <r>
    <n v="34"/>
    <s v="The Hunger Games: Mockingjay - Part 1"/>
    <n v="80"/>
    <x v="0"/>
    <x v="18"/>
    <n v="13990"/>
    <s v="Jennifer Lawrence"/>
    <s v="Yes"/>
    <n v="337135885"/>
    <n v="372500000"/>
    <m/>
    <n v="125000000"/>
  </r>
  <r>
    <n v="35"/>
    <s v="Spider-Man 3"/>
    <n v="90"/>
    <x v="2"/>
    <x v="19"/>
    <n v="18685"/>
    <s v="Tobey Maguire"/>
    <s v="Yes"/>
    <n v="336530303"/>
    <n v="554345000"/>
    <m/>
    <n v="258000000"/>
  </r>
  <r>
    <n v="36"/>
    <s v="Minions"/>
    <n v="60"/>
    <x v="3"/>
    <x v="18"/>
    <n v="14020"/>
    <s v="Jennifer Saunders"/>
    <s v="No"/>
    <n v="335501715"/>
    <n v="825868529"/>
    <m/>
    <n v="74000000"/>
  </r>
  <r>
    <n v="37"/>
    <s v="Alice in Wonderland"/>
    <n v="40"/>
    <x v="4"/>
    <x v="12"/>
    <n v="12745"/>
    <s v="Frank Welker"/>
    <s v="No"/>
    <n v="334191110"/>
    <n v="691300000"/>
    <m/>
    <n v="200000000"/>
  </r>
  <r>
    <n v="38"/>
    <s v="Guardians of the Galaxy"/>
    <n v="90"/>
    <x v="2"/>
    <x v="18"/>
    <n v="11410"/>
    <s v="Chris Pratt"/>
    <s v="No"/>
    <n v="333172112"/>
    <n v="438000000"/>
    <m/>
    <n v="170000000"/>
  </r>
  <r>
    <n v="39"/>
    <s v="Forrest Gump"/>
    <n v="50"/>
    <x v="1"/>
    <x v="11"/>
    <n v="16360"/>
    <s v="Mykelti Williamson"/>
    <s v="No"/>
    <n v="330151138"/>
    <n v="349706026"/>
    <s v="Y"/>
    <n v="55000000"/>
  </r>
  <r>
    <n v="40"/>
    <s v="Shrek the Third"/>
    <n v="60"/>
    <x v="3"/>
    <x v="19"/>
    <n v="16180"/>
    <s v="Mike Myers"/>
    <s v="Yes"/>
    <n v="321012359"/>
    <n v="484610992"/>
    <m/>
    <n v="160000000"/>
  </r>
  <r>
    <n v="41"/>
    <s v="Transformers"/>
    <n v="80"/>
    <x v="0"/>
    <x v="19"/>
    <n v="18055"/>
    <s v="Shia LaBeouf"/>
    <s v="No"/>
    <n v="319071806"/>
    <n v="389026399"/>
    <m/>
    <n v="151000000"/>
  </r>
  <r>
    <n v="42"/>
    <s v="Iron Man"/>
    <n v="90"/>
    <x v="2"/>
    <x v="4"/>
    <n v="17335"/>
    <s v="Robert Downey, Jr."/>
    <s v="No"/>
    <n v="318604126"/>
    <n v="263839000"/>
    <m/>
    <n v="186000000"/>
  </r>
  <r>
    <n v="43"/>
    <s v="Harry Potter and the Sorcerer’s Stone"/>
    <n v="40"/>
    <x v="4"/>
    <x v="20"/>
    <n v="14485"/>
    <s v="Josh Herdman"/>
    <s v="No"/>
    <n v="317575550"/>
    <n v="657179821"/>
    <m/>
    <n v="125000000"/>
  </r>
  <r>
    <n v="44"/>
    <s v="Indiana Jones and the Kingdom of the Crystal Skull"/>
    <n v="50"/>
    <x v="1"/>
    <x v="4"/>
    <n v="14650"/>
    <s v="Karen Allen"/>
    <s v="Yes"/>
    <n v="317023851"/>
    <n v="469534294"/>
    <m/>
    <n v="185000000"/>
  </r>
  <r>
    <n v="45"/>
    <s v="The Lord of the Rings: The Fellowship of the Ring"/>
    <n v="40"/>
    <x v="4"/>
    <x v="20"/>
    <n v="12445"/>
    <s v="Elijah Wood"/>
    <s v="No"/>
    <n v="315544750"/>
    <n v="571672938"/>
    <m/>
    <n v="109000000"/>
  </r>
  <r>
    <n v="46"/>
    <s v="Iron Man 2"/>
    <n v="90"/>
    <x v="2"/>
    <x v="12"/>
    <n v="13075"/>
    <s v="Gwyneth Paltrow"/>
    <s v="Yes"/>
    <n v="312128345"/>
    <n v="311128000"/>
    <m/>
    <n v="170000000"/>
  </r>
  <r>
    <n v="47"/>
    <s v="Pirates of the Caribbean: At World's End"/>
    <n v="50"/>
    <x v="1"/>
    <x v="19"/>
    <n v="14350"/>
    <s v="Johnny Depp"/>
    <s v="Yes"/>
    <n v="309420425"/>
    <n v="654000000"/>
    <m/>
    <n v="300000000"/>
  </r>
  <r>
    <n v="48"/>
    <s v="Star Wars Ep. VI: Return of the Jedi"/>
    <n v="80"/>
    <x v="0"/>
    <x v="21"/>
    <n v="13120"/>
    <s v="Harrison Ford"/>
    <s v="Yes"/>
    <n v="309125409"/>
    <n v="263500000"/>
    <m/>
    <n v="32500000"/>
  </r>
  <r>
    <n v="49"/>
    <s v="Independence Day"/>
    <n v="80"/>
    <x v="0"/>
    <x v="22"/>
    <n v="11815"/>
    <s v="Dan Lauria"/>
    <s v="No"/>
    <n v="306124059"/>
    <n v="511231623"/>
    <m/>
    <n v="75000000"/>
  </r>
  <r>
    <n v="50"/>
    <s v="Pirates of the Caribbean: The Curse of the Black Pearl"/>
    <n v="40"/>
    <x v="4"/>
    <x v="16"/>
    <n v="14350"/>
    <s v="Johnny Depp"/>
    <s v="No"/>
    <n v="305411224"/>
    <n v="329542879"/>
    <m/>
    <n v="125000000"/>
  </r>
  <r>
    <n v="51"/>
    <s v="Skyfall"/>
    <n v="10"/>
    <x v="6"/>
    <x v="3"/>
    <n v="11830"/>
    <s v="Daniel Craig"/>
    <s v="Yes"/>
    <n v="304360277"/>
    <n v="806166704"/>
    <m/>
    <n v="200000000"/>
  </r>
  <r>
    <n v="52"/>
    <s v="The Hobbit: An Unexpected Journey"/>
    <n v="40"/>
    <x v="4"/>
    <x v="3"/>
    <n v="13285"/>
    <s v="Hugo Weaving"/>
    <s v="Yes"/>
    <n v="303003568"/>
    <n v="714000000"/>
    <m/>
    <n v="250000000"/>
  </r>
  <r>
    <n v="53"/>
    <s v="Star Wars Ep. II: Attack of the Clones"/>
    <n v="80"/>
    <x v="0"/>
    <x v="14"/>
    <n v="13885"/>
    <s v="Jay Laga'aia"/>
    <s v="Yes"/>
    <n v="302181125"/>
    <n v="346018875"/>
    <m/>
    <n v="115000000"/>
  </r>
  <r>
    <n v="54"/>
    <s v="Harry Potter and the Half-Blood Prince"/>
    <n v="40"/>
    <x v="4"/>
    <x v="0"/>
    <n v="12895"/>
    <s v="Gemma Jones"/>
    <s v="Yes"/>
    <n v="301959197"/>
    <n v="633124489"/>
    <m/>
    <n v="250000000"/>
  </r>
  <r>
    <n v="55"/>
    <s v="The Twilight Saga: Eclipse"/>
    <n v="40"/>
    <x v="4"/>
    <x v="12"/>
    <n v="11710"/>
    <s v="Dakota Fanning"/>
    <s v="Yes"/>
    <n v="300531751"/>
    <n v="405571077"/>
    <m/>
    <n v="68000000"/>
  </r>
  <r>
    <n v="56"/>
    <s v="The Twilight Saga: New Moon"/>
    <n v="40"/>
    <x v="4"/>
    <x v="0"/>
    <n v="15010"/>
    <s v="Kristen Stewart"/>
    <s v="Yes"/>
    <n v="296623634"/>
    <n v="390934093"/>
    <m/>
    <n v="50000000"/>
  </r>
  <r>
    <n v="57"/>
    <s v="Harry Potter and the Deathly Hallows: Part I"/>
    <n v="40"/>
    <x v="4"/>
    <x v="12"/>
    <n v="18655"/>
    <s v="Timothy Spall"/>
    <s v="Yes"/>
    <n v="295001070"/>
    <n v="664300000"/>
    <m/>
    <n v="125000000"/>
  </r>
  <r>
    <n v="58"/>
    <s v="The Sixth Sense"/>
    <n v="40"/>
    <x v="4"/>
    <x v="5"/>
    <n v="11095"/>
    <s v="Bruce Willis"/>
    <s v="No"/>
    <n v="293506292"/>
    <n v="379300000"/>
    <m/>
    <n v="40000000"/>
  </r>
  <r>
    <n v="59"/>
    <s v="Up"/>
    <n v="40"/>
    <x v="4"/>
    <x v="0"/>
    <n v="11515"/>
    <s v="Christopher Plummer"/>
    <s v="No"/>
    <n v="293004164"/>
    <n v="438538457"/>
    <m/>
    <n v="175000000"/>
  </r>
  <r>
    <n v="60"/>
    <s v="Inception"/>
    <n v="80"/>
    <x v="0"/>
    <x v="12"/>
    <n v="15955"/>
    <s v="Michael Caine"/>
    <s v="No"/>
    <n v="292576195"/>
    <n v="540008221"/>
    <m/>
    <n v="160000000"/>
  </r>
  <r>
    <n v="61"/>
    <s v="The Twilight Saga: Breaking Dawn, Part 2"/>
    <n v="40"/>
    <x v="4"/>
    <x v="3"/>
    <n v="15010"/>
    <s v="Kristen Stewart"/>
    <s v="Yes"/>
    <n v="292324737"/>
    <n v="537400000"/>
    <m/>
    <n v="136200000"/>
  </r>
  <r>
    <n v="62"/>
    <s v="Harry Potter and the Order of the Phoenix"/>
    <n v="40"/>
    <x v="4"/>
    <x v="19"/>
    <n v="12160"/>
    <s v="Devon Murray"/>
    <s v="Yes"/>
    <n v="292004738"/>
    <n v="650939197"/>
    <m/>
    <n v="150000000"/>
  </r>
  <r>
    <n v="63"/>
    <s v="The Chronicles of Narnia: The Lion, the Witch and the Wardrobe"/>
    <n v="40"/>
    <x v="4"/>
    <x v="17"/>
    <n v="14950"/>
    <s v="Kiran Shah"/>
    <s v="No"/>
    <n v="291710957"/>
    <n v="428828615"/>
    <m/>
    <n v="180000000"/>
  </r>
  <r>
    <n v="64"/>
    <s v="Man of Steel"/>
    <n v="90"/>
    <x v="2"/>
    <x v="3"/>
    <n v="13210"/>
    <s v="Henry Cavill"/>
    <s v="Yes"/>
    <n v="291045518"/>
    <n v="376954000"/>
    <m/>
    <n v="225000000"/>
  </r>
  <r>
    <n v="65"/>
    <s v="Star Wars Ep. V: The Empire Strikes Back"/>
    <n v="80"/>
    <x v="0"/>
    <x v="23"/>
    <n v="14035"/>
    <s v="Jeremy Bulloch"/>
    <s v="Yes"/>
    <n v="290158751"/>
    <n v="243900000"/>
    <m/>
    <n v="23000000"/>
  </r>
  <r>
    <n v="66"/>
    <s v="Harry Potter and the Goblet of Fire"/>
    <n v="40"/>
    <x v="4"/>
    <x v="17"/>
    <n v="12160"/>
    <s v="Devon Murray"/>
    <s v="Yes"/>
    <n v="290013036"/>
    <n v="606898042"/>
    <m/>
    <n v="150000000"/>
  </r>
  <r>
    <n v="67"/>
    <s v="Monsters, Inc."/>
    <n v="60"/>
    <x v="3"/>
    <x v="20"/>
    <n v="10855"/>
    <s v="Billy Crystal"/>
    <s v="No"/>
    <n v="289423425"/>
    <n v="270334294"/>
    <m/>
    <n v="115000000"/>
  </r>
  <r>
    <n v="68"/>
    <s v="The Matrix Reloaded"/>
    <n v="80"/>
    <x v="0"/>
    <x v="16"/>
    <n v="14755"/>
    <s v="Keanu Reeves"/>
    <s v="Yes"/>
    <n v="281553689"/>
    <n v="457023240"/>
    <m/>
    <n v="150000000"/>
  </r>
  <r>
    <n v="69"/>
    <s v="The Twilight Saga: Breaking Dawn, Part 1"/>
    <n v="40"/>
    <x v="4"/>
    <x v="13"/>
    <n v="15010"/>
    <s v="Kristen Stewart"/>
    <s v="Yes"/>
    <n v="281287133"/>
    <n v="408132918"/>
    <m/>
    <n v="127500000"/>
  </r>
  <r>
    <n v="70"/>
    <s v="Meet the Fockers"/>
    <n v="10"/>
    <x v="6"/>
    <x v="7"/>
    <n v="10660"/>
    <s v="Ben Stiller"/>
    <s v="Yes"/>
    <n v="279167575"/>
    <n v="237400000"/>
    <m/>
    <n v="60000000"/>
  </r>
  <r>
    <n v="71"/>
    <s v="Home Alone"/>
    <n v="10"/>
    <x v="6"/>
    <x v="24"/>
    <n v="15940"/>
    <s v="Michael C. Maronna"/>
    <s v="No"/>
    <n v="277504018"/>
    <n v="190923432"/>
    <m/>
    <n v="15000000"/>
  </r>
  <r>
    <n v="72"/>
    <s v="The Hangover"/>
    <n v="10"/>
    <x v="6"/>
    <x v="0"/>
    <n v="16225"/>
    <s v="Mike Tyson"/>
    <s v="No"/>
    <n v="277322503"/>
    <n v="188441583"/>
    <m/>
    <n v="35000000"/>
  </r>
  <r>
    <n v="73"/>
    <s v="Gravity"/>
    <n v="10"/>
    <x v="6"/>
    <x v="3"/>
    <n v="12925"/>
    <s v="George Clooney"/>
    <s v="No"/>
    <n v="274092705"/>
    <n v="442300000"/>
    <m/>
    <n v="110000000"/>
  </r>
  <r>
    <n v="74"/>
    <s v="Monsters University"/>
    <n v="60"/>
    <x v="3"/>
    <x v="3"/>
    <n v="10855"/>
    <s v="Billy Crystal"/>
    <s v="Yes"/>
    <n v="268488329"/>
    <n v="475100000"/>
    <m/>
    <n v="200000000"/>
  </r>
  <r>
    <n v="75"/>
    <s v="Shrek"/>
    <n v="60"/>
    <x v="3"/>
    <x v="20"/>
    <n v="16180"/>
    <s v="Mike Myers"/>
    <s v="No"/>
    <n v="267655011"/>
    <n v="224157783"/>
    <m/>
    <n v="50000000"/>
  </r>
  <r>
    <n v="76"/>
    <s v="The Amazing Spider-Man"/>
    <n v="90"/>
    <x v="2"/>
    <x v="3"/>
    <n v="10255"/>
    <s v="Andrew Garfield"/>
    <s v="Yes"/>
    <n v="262030663"/>
    <n v="100019072"/>
    <m/>
    <n v="110000000"/>
  </r>
  <r>
    <n v="77"/>
    <s v="Harry Potter and the Chamber of Secrets"/>
    <n v="40"/>
    <x v="4"/>
    <x v="14"/>
    <n v="11425"/>
    <s v="Chris Rankin"/>
    <s v="Yes"/>
    <n v="261987880"/>
    <n v="616991754"/>
    <m/>
    <n v="100000000"/>
  </r>
  <r>
    <n v="78"/>
    <s v="The Incredibles"/>
    <n v="60"/>
    <x v="3"/>
    <x v="7"/>
    <n v="15370"/>
    <s v="Lou Romano"/>
    <s v="No"/>
    <n v="261441092"/>
    <n v="353285660"/>
    <m/>
    <n v="92000000"/>
  </r>
  <r>
    <n v="79"/>
    <s v="How the Grinch Stole Christmas"/>
    <n v="60"/>
    <x v="3"/>
    <x v="25"/>
    <n v="18415"/>
    <s v="T.J. Thyne"/>
    <s v="No"/>
    <n v="260044825"/>
    <n v="85096578"/>
    <m/>
    <n v="123000000"/>
  </r>
  <r>
    <n v="80"/>
    <s v="Jaws"/>
    <n v="10"/>
    <x v="6"/>
    <x v="26"/>
    <n v="17275"/>
    <s v="Robert Chambers"/>
    <s v="No"/>
    <n v="260000000"/>
    <n v="210700000"/>
    <m/>
    <n v="12000000"/>
  </r>
  <r>
    <n v="81"/>
    <s v="Captain America: The Winter Soldier"/>
    <n v="80"/>
    <x v="0"/>
    <x v="18"/>
    <n v="11365"/>
    <s v="Chris Evans"/>
    <s v="Yes"/>
    <n v="259746958"/>
    <n v="454100000"/>
    <m/>
    <n v="170000000"/>
  </r>
  <r>
    <n v="82"/>
    <s v="The Hobbit: The Desolation of Smaug"/>
    <n v="40"/>
    <x v="4"/>
    <x v="9"/>
    <n v="15595"/>
    <s v="Martin Freeman"/>
    <s v="Yes"/>
    <n v="258366855"/>
    <n v="702000000"/>
    <m/>
    <n v="250000000"/>
  </r>
  <r>
    <n v="83"/>
    <s v="The Lego Movie"/>
    <n v="60"/>
    <x v="3"/>
    <x v="9"/>
    <n v="10180"/>
    <s v="Amanda Farinos"/>
    <s v="No"/>
    <n v="257784718"/>
    <n v="199944670"/>
    <m/>
    <n v="60000000"/>
  </r>
  <r>
    <n v="84"/>
    <s v="Star Trek"/>
    <n v="80"/>
    <x v="0"/>
    <x v="0"/>
    <n v="19300"/>
    <s v="Zachary Quinto"/>
    <s v="Yes"/>
    <n v="257730019"/>
    <n v="127950427"/>
    <m/>
    <n v="140000000"/>
  </r>
  <r>
    <n v="85"/>
    <s v="I am Legend"/>
    <n v="80"/>
    <x v="0"/>
    <x v="19"/>
    <n v="12535"/>
    <s v="Emma Thompson"/>
    <s v="No"/>
    <n v="256393010"/>
    <n v="329139674"/>
    <m/>
    <n v="150000000"/>
  </r>
  <r>
    <n v="86"/>
    <s v="The Blind Side"/>
    <n v="20"/>
    <x v="5"/>
    <x v="0"/>
    <n v="18595"/>
    <s v="Tim McGraw"/>
    <s v="No"/>
    <n v="255959475"/>
    <n v="49746319"/>
    <m/>
    <n v="35000000"/>
  </r>
  <r>
    <n v="87"/>
    <s v="The Hobbit: The Battle of the Five Armies"/>
    <n v="40"/>
    <x v="4"/>
    <x v="18"/>
    <n v="15595"/>
    <s v="Martin Freeman"/>
    <s v="Yes"/>
    <n v="255119788"/>
    <n v="700000000"/>
    <m/>
    <n v="250000000"/>
  </r>
  <r>
    <n v="88"/>
    <s v="The Hangover Part II"/>
    <n v="10"/>
    <x v="6"/>
    <x v="13"/>
    <n v="19270"/>
    <s v="Zach Galifianakis"/>
    <s v="Yes"/>
    <n v="254464305"/>
    <n v="332000000"/>
    <m/>
    <n v="80000000"/>
  </r>
  <r>
    <n v="89"/>
    <s v="Despicable Me"/>
    <n v="60"/>
    <x v="3"/>
    <x v="12"/>
    <n v="13420"/>
    <s v="Jack McBrayer"/>
    <s v="No"/>
    <n v="251513985"/>
    <n v="291981048"/>
    <m/>
    <n v="69000000"/>
  </r>
  <r>
    <n v="90"/>
    <s v="Night at the Museum"/>
    <n v="60"/>
    <x v="3"/>
    <x v="10"/>
    <n v="10660"/>
    <s v="Ben Stiller"/>
    <s v="No"/>
    <n v="250863268"/>
    <n v="330707025"/>
    <m/>
    <n v="110000000"/>
  </r>
  <r>
    <n v="91"/>
    <s v="Men in Black"/>
    <n v="80"/>
    <x v="0"/>
    <x v="1"/>
    <n v="18865"/>
    <s v="Tommy Lee Jones"/>
    <s v="No"/>
    <n v="250147615"/>
    <n v="337100000"/>
    <m/>
    <n v="90000000"/>
  </r>
  <r>
    <n v="92"/>
    <s v="Harry Potter and the Prisoner of Azkaban"/>
    <n v="40"/>
    <x v="4"/>
    <x v="7"/>
    <n v="12160"/>
    <s v="Devon Murray"/>
    <s v="Yes"/>
    <n v="249538952"/>
    <n v="547149597"/>
    <m/>
    <n v="130000000"/>
  </r>
  <r>
    <n v="93"/>
    <s v="Batman"/>
    <n v="90"/>
    <x v="2"/>
    <x v="27"/>
    <n v="15145"/>
    <s v="Lee Wallace"/>
    <s v="No"/>
    <n v="248972777"/>
    <n v="160160000"/>
    <m/>
    <n v="35000000"/>
  </r>
  <r>
    <n v="94"/>
    <s v="Raiders of the Lost Ark"/>
    <n v="50"/>
    <x v="1"/>
    <x v="28"/>
    <n v="13120"/>
    <s v="Harrison Ford"/>
    <s v="No"/>
    <n v="248159971"/>
    <n v="141766000"/>
    <m/>
    <n v="20000000"/>
  </r>
  <r>
    <n v="95"/>
    <s v="Toy Story 2"/>
    <n v="60"/>
    <x v="3"/>
    <x v="5"/>
    <n v="18760"/>
    <s v="Tom Hanks"/>
    <s v="Yes"/>
    <n v="245823397"/>
    <n v="265506097"/>
    <m/>
    <n v="90000000"/>
  </r>
  <r>
    <n v="96"/>
    <s v="Transformers: Age of Extinction"/>
    <n v="80"/>
    <x v="0"/>
    <x v="18"/>
    <n v="15565"/>
    <s v="Mark Wahlberg"/>
    <s v="Yes"/>
    <n v="245439076"/>
    <n v="858600000"/>
    <m/>
    <n v="210000000"/>
  </r>
  <r>
    <n v="97"/>
    <s v="Cars"/>
    <n v="60"/>
    <x v="3"/>
    <x v="10"/>
    <n v="10285"/>
    <s v="Andrew Stanton"/>
    <s v="No"/>
    <n v="244082982"/>
    <n v="217568264"/>
    <m/>
    <n v="70000000"/>
  </r>
  <r>
    <n v="98"/>
    <s v="Bruce Almighty"/>
    <n v="40"/>
    <x v="4"/>
    <x v="16"/>
    <n v="17695"/>
    <s v="Sally Kirkland"/>
    <s v="No"/>
    <n v="242704995"/>
    <n v="240768967"/>
    <m/>
    <n v="81000000"/>
  </r>
  <r>
    <n v="99"/>
    <s v="Ghostbusters"/>
    <n v="40"/>
    <x v="4"/>
    <x v="29"/>
    <n v="11770"/>
    <s v="Dan Aykroyd"/>
    <s v="No"/>
    <n v="242212467"/>
    <n v="53000000"/>
    <m/>
    <n v="30000000"/>
  </r>
  <r>
    <n v="100"/>
    <s v="Twister"/>
    <n v="10"/>
    <x v="6"/>
    <x v="22"/>
    <n v="10840"/>
    <s v="Bill Paxton"/>
    <s v="No"/>
    <n v="241688385"/>
    <n v="254011615"/>
    <m/>
    <n v="88000000"/>
  </r>
  <r>
    <n v="101"/>
    <s v="My Big Fat Greek Wedding"/>
    <n v="10"/>
    <x v="6"/>
    <x v="14"/>
    <n v="14305"/>
    <s v="John Corbett"/>
    <s v="No"/>
    <n v="241438208"/>
    <n v="133451826"/>
    <m/>
    <n v="5000000"/>
  </r>
  <r>
    <n v="102"/>
    <s v="Maleficent"/>
    <n v="40"/>
    <x v="4"/>
    <x v="9"/>
    <n v="10330"/>
    <s v="Angelina Jolie"/>
    <s v="No"/>
    <n v="241407328"/>
    <n v="517000000"/>
    <m/>
    <n v="180000000"/>
  </r>
  <r>
    <n v="103"/>
    <s v="Pirates of the Caribbean: On Stranger Tides"/>
    <n v="40"/>
    <x v="4"/>
    <x v="13"/>
    <n v="14350"/>
    <s v="Johnny Depp"/>
    <s v="Yes"/>
    <n v="241063875"/>
    <n v="804600000"/>
    <m/>
    <n v="250000000"/>
  </r>
  <r>
    <n v="104"/>
    <s v="Fast and Furious 6"/>
    <n v="10"/>
    <x v="6"/>
    <x v="3"/>
    <n v="19060"/>
    <s v="Vin Diesel"/>
    <s v="Yes"/>
    <n v="238679850"/>
    <n v="551272961"/>
    <m/>
    <n v="160000000"/>
  </r>
  <r>
    <n v="105"/>
    <s v="Shrek Forever After"/>
    <n v="60"/>
    <x v="3"/>
    <x v="12"/>
    <n v="15055"/>
    <s v="Lake Bell"/>
    <s v="Yes"/>
    <n v="238395990"/>
    <n v="517507886"/>
    <m/>
    <n v="165000000"/>
  </r>
  <r>
    <n v="106"/>
    <s v="Brave"/>
    <n v="60"/>
    <x v="3"/>
    <x v="3"/>
    <n v="12535"/>
    <s v="Emma Thompson"/>
    <s v="No"/>
    <n v="237282182"/>
    <n v="317324350"/>
    <m/>
    <n v="185000000"/>
  </r>
  <r>
    <n v="107"/>
    <s v="Oz the Great and Powerful"/>
    <n v="40"/>
    <x v="4"/>
    <x v="13"/>
    <n v="13615"/>
    <s v="James Franco"/>
    <s v="No"/>
    <n v="234770996"/>
    <n v="254800000"/>
    <m/>
    <n v="200000000"/>
  </r>
  <r>
    <n v="108"/>
    <s v="X-Men: The Last Stand"/>
    <n v="90"/>
    <x v="2"/>
    <x v="10"/>
    <n v="17995"/>
    <s v="Shawn Ashmore"/>
    <s v="Yes"/>
    <n v="234362462"/>
    <n v="284000000"/>
    <m/>
    <n v="165000000"/>
  </r>
  <r>
    <n v="109"/>
    <s v="War of the Worlds"/>
    <n v="80"/>
    <x v="0"/>
    <x v="17"/>
    <n v="18745"/>
    <s v="Tom Cruise"/>
    <s v="No"/>
    <n v="234280354"/>
    <n v="372556181"/>
    <m/>
    <n v="132000000"/>
  </r>
  <r>
    <n v="110"/>
    <s v="X-Men: Days of Future Past"/>
    <n v="80"/>
    <x v="0"/>
    <x v="18"/>
    <n v="13270"/>
    <s v="Hugh Jackman"/>
    <s v="Yes"/>
    <n v="233921534"/>
    <n v="284000000"/>
    <m/>
    <n v="165000000"/>
  </r>
  <r>
    <n v="111"/>
    <s v="Cast Away"/>
    <n v="10"/>
    <x v="6"/>
    <x v="25"/>
    <n v="13960"/>
    <s v="Jenifer Lewis"/>
    <s v="No"/>
    <n v="233632142"/>
    <n v="193598374"/>
    <m/>
    <n v="85000000"/>
  </r>
  <r>
    <n v="112"/>
    <s v="Beverly Hills Cop"/>
    <n v="10"/>
    <x v="6"/>
    <x v="29"/>
    <n v="15970"/>
    <s v="Michael Champion"/>
    <s v="No"/>
    <n v="229909722"/>
    <n v="81539522"/>
    <m/>
    <n v="15000000"/>
  </r>
  <r>
    <n v="113"/>
    <s v="The Lost World: Jurassic Park"/>
    <n v="80"/>
    <x v="0"/>
    <x v="1"/>
    <n v="13930"/>
    <s v="Jeff Goldblum"/>
    <s v="No"/>
    <n v="229074524"/>
    <n v="389552320"/>
    <m/>
    <n v="75000000"/>
  </r>
  <r>
    <n v="114"/>
    <s v="Star Trek Into Darkness"/>
    <n v="80"/>
    <x v="0"/>
    <x v="3"/>
    <n v="11380"/>
    <s v="Chris Pine"/>
    <s v="Yes"/>
    <n v="228778661"/>
    <n v="238200000"/>
    <m/>
    <n v="190000000"/>
  </r>
  <r>
    <n v="115"/>
    <s v="Signs"/>
    <n v="80"/>
    <x v="0"/>
    <x v="14"/>
    <n v="15865"/>
    <s v="Mel Gibson"/>
    <s v="No"/>
    <n v="227965690"/>
    <n v="180300000"/>
    <m/>
    <n v="70702619"/>
  </r>
  <r>
    <n v="116"/>
    <s v="Hancock"/>
    <n v="90"/>
    <x v="2"/>
    <x v="4"/>
    <n v="13525"/>
    <s v="Jae Head"/>
    <s v="No"/>
    <n v="227946274"/>
    <n v="396287998"/>
    <m/>
    <n v="150000000"/>
  </r>
  <r>
    <n v="117"/>
    <s v="The Bourne Ultimatum"/>
    <n v="10"/>
    <x v="6"/>
    <x v="19"/>
    <n v="17860"/>
    <s v="Scott Glenn"/>
    <s v="Yes"/>
    <n v="227471070"/>
    <n v="214690492"/>
    <m/>
    <n v="130000000"/>
  </r>
  <r>
    <n v="118"/>
    <s v="Rush Hour 2"/>
    <n v="10"/>
    <x v="6"/>
    <x v="20"/>
    <n v="13495"/>
    <s v="Jackie Chan"/>
    <s v="Yes"/>
    <n v="226164286"/>
    <n v="121261546"/>
    <m/>
    <n v="90000000"/>
  </r>
  <r>
    <n v="119"/>
    <s v="WALL-E"/>
    <n v="80"/>
    <x v="0"/>
    <x v="4"/>
    <n v="12790"/>
    <s v="Fred Willard"/>
    <s v="No"/>
    <n v="223808164"/>
    <n v="308782830"/>
    <m/>
    <n v="180000000"/>
  </r>
  <r>
    <n v="120"/>
    <s v="Big Hero 6"/>
    <n v="80"/>
    <x v="0"/>
    <x v="18"/>
    <n v="17845"/>
    <s v="Scott Adsit"/>
    <s v="No"/>
    <n v="222527828"/>
    <n v="429600000"/>
    <m/>
    <n v="165000000"/>
  </r>
  <r>
    <n v="121"/>
    <s v="National Treasure 2: Book of Secrets"/>
    <n v="10"/>
    <x v="6"/>
    <x v="19"/>
    <n v="16465"/>
    <s v="Nicolas Cage"/>
    <s v="Yes"/>
    <n v="219961501"/>
    <n v="237364303"/>
    <m/>
    <n v="0"/>
  </r>
  <r>
    <n v="122"/>
    <s v="Alvin and the Chipmunks: The Squeakquel"/>
    <n v="60"/>
    <x v="3"/>
    <x v="0"/>
    <n v="19285"/>
    <s v="Zachary Levi"/>
    <s v="Yes"/>
    <n v="219614612"/>
    <n v="223868601"/>
    <m/>
    <n v="70000000"/>
  </r>
  <r>
    <n v="123"/>
    <s v="Beauty and the Beast"/>
    <n v="40"/>
    <x v="4"/>
    <x v="30"/>
    <n v="10780"/>
    <s v="Bill Farmer"/>
    <s v="No"/>
    <n v="218951625"/>
    <n v="232470000"/>
    <m/>
    <n v="20000000"/>
  </r>
  <r>
    <n v="124"/>
    <s v="Mrs. Doubtfire"/>
    <n v="10"/>
    <x v="6"/>
    <x v="15"/>
    <n v="17425"/>
    <s v="Robin Williams"/>
    <s v="No"/>
    <n v="218692701"/>
    <n v="222090952"/>
    <m/>
    <n v="25000000"/>
  </r>
  <r>
    <n v="125"/>
    <s v="Ted"/>
    <n v="10"/>
    <x v="6"/>
    <x v="13"/>
    <n v="15565"/>
    <s v="Mark Wahlberg"/>
    <s v="No"/>
    <n v="218665740"/>
    <n v="337350887"/>
    <m/>
    <n v="50000000"/>
  </r>
  <r>
    <n v="126"/>
    <s v="King Kong"/>
    <n v="40"/>
    <x v="4"/>
    <x v="17"/>
    <n v="15040"/>
    <s v="Kyle Chandler"/>
    <s v="No"/>
    <n v="218080025"/>
    <n v="332437332"/>
    <m/>
    <n v="207000000"/>
  </r>
  <r>
    <n v="127"/>
    <s v="How to Train Your Dragon"/>
    <n v="40"/>
    <x v="4"/>
    <x v="12"/>
    <n v="15025"/>
    <s v="Kristen Wiig"/>
    <s v="No"/>
    <n v="217581231"/>
    <n v="277289760"/>
    <m/>
    <n v="165000000"/>
  </r>
  <r>
    <n v="128"/>
    <s v="The Da Vinci Code"/>
    <n v="10"/>
    <x v="6"/>
    <x v="10"/>
    <n v="14605"/>
    <s v="Jurgen Prochnow"/>
    <s v="No"/>
    <n v="217536138"/>
    <n v="550284321"/>
    <m/>
    <n v="125000000"/>
  </r>
  <r>
    <n v="129"/>
    <s v="Alvin and the Chipmunks"/>
    <n v="60"/>
    <x v="3"/>
    <x v="19"/>
    <n v="13765"/>
    <s v="Jane Lynch"/>
    <s v="No"/>
    <n v="217326974"/>
    <n v="145278059"/>
    <m/>
    <n v="55000000"/>
  </r>
  <r>
    <n v="130"/>
    <s v="Madagascar 3: Europe's Most Wanted"/>
    <n v="60"/>
    <x v="3"/>
    <x v="3"/>
    <n v="12550"/>
    <s v="Eric Darnell"/>
    <s v="Yes"/>
    <n v="216391482"/>
    <n v="530529789"/>
    <m/>
    <n v="145000000"/>
  </r>
  <r>
    <n v="131"/>
    <s v="Saving Private Ryan"/>
    <n v="50"/>
    <x v="1"/>
    <x v="31"/>
    <n v="18760"/>
    <s v="Tom Hanks"/>
    <s v="No"/>
    <n v="216119491"/>
    <n v="268700000"/>
    <m/>
    <n v="65000000"/>
  </r>
  <r>
    <n v="132"/>
    <s v="Kung Fu Panda"/>
    <n v="60"/>
    <x v="3"/>
    <x v="4"/>
    <n v="11800"/>
    <s v="Dan Fogler"/>
    <s v="No"/>
    <n v="215434591"/>
    <n v="416475940"/>
    <m/>
    <n v="130000000"/>
  </r>
  <r>
    <n v="133"/>
    <s v="Mission: Impossible 2"/>
    <n v="10"/>
    <x v="6"/>
    <x v="25"/>
    <n v="18745"/>
    <s v="Tom Cruise"/>
    <s v="Yes"/>
    <n v="215409889"/>
    <n v="334178627"/>
    <m/>
    <n v="120000000"/>
  </r>
  <r>
    <n v="134"/>
    <s v="X2"/>
    <n v="90"/>
    <x v="2"/>
    <x v="16"/>
    <n v="16660"/>
    <s v="Patrick Stewart"/>
    <s v="Yes"/>
    <n v="214949694"/>
    <n v="192761855"/>
    <m/>
    <n v="125000000"/>
  </r>
  <r>
    <n v="135"/>
    <s v="Doctor Seuss' The Lorax"/>
    <n v="60"/>
    <x v="3"/>
    <x v="13"/>
    <n v="11875"/>
    <s v="Danny De Vito"/>
    <s v="No"/>
    <n v="214030500"/>
    <n v="136946253"/>
    <m/>
    <n v="67500000"/>
  </r>
  <r>
    <n v="136"/>
    <s v="Austin Powers in Goldmember"/>
    <n v="10"/>
    <x v="6"/>
    <x v="14"/>
    <n v="12775"/>
    <s v="Fred Stoller"/>
    <s v="Yes"/>
    <n v="213117789"/>
    <n v="79620837"/>
    <m/>
    <n v="63000000"/>
  </r>
  <r>
    <n v="137"/>
    <s v="Back to the Future"/>
    <n v="80"/>
    <x v="0"/>
    <x v="32"/>
    <n v="11215"/>
    <s v="Casey Siemaszko"/>
    <s v="No"/>
    <n v="212259762"/>
    <n v="173265100"/>
    <m/>
    <n v="19000000"/>
  </r>
  <r>
    <n v="138"/>
    <s v="300"/>
    <n v="50"/>
    <x v="1"/>
    <x v="19"/>
    <n v="16885"/>
    <s v="Peter Mensah"/>
    <s v="No"/>
    <n v="210592590"/>
    <n v="243546996"/>
    <m/>
    <n v="60000000"/>
  </r>
  <r>
    <n v="139"/>
    <s v="Fast Five"/>
    <n v="10"/>
    <x v="6"/>
    <x v="13"/>
    <n v="19060"/>
    <s v="Vin Diesel"/>
    <s v="Yes"/>
    <n v="209837675"/>
    <n v="420132129"/>
    <m/>
    <n v="125000000"/>
  </r>
  <r>
    <n v="140"/>
    <s v="Mission: Impossible - Ghost Protocol"/>
    <n v="10"/>
    <x v="6"/>
    <x v="13"/>
    <n v="18745"/>
    <s v="Tom Cruise"/>
    <s v="Yes"/>
    <n v="209397903"/>
    <n v="485315327"/>
    <m/>
    <n v="145000000"/>
  </r>
  <r>
    <n v="141"/>
    <s v="The Wedding Crashers"/>
    <n v="10"/>
    <x v="6"/>
    <x v="17"/>
    <n v="16630"/>
    <s v="Owen Wilson"/>
    <s v="No"/>
    <n v="209218368"/>
    <n v="74000000"/>
    <m/>
    <n v="40000000"/>
  </r>
  <r>
    <n v="142"/>
    <s v="Sherlock Holmes"/>
    <n v="50"/>
    <x v="1"/>
    <x v="0"/>
    <n v="17335"/>
    <s v="Robert Downey, Jr."/>
    <s v="No"/>
    <n v="209028679"/>
    <n v="289409533"/>
    <m/>
    <n v="90000000"/>
  </r>
  <r>
    <n v="143"/>
    <s v="Aladdin"/>
    <n v="40"/>
    <x v="4"/>
    <x v="33"/>
    <n v="12055"/>
    <s v="Debi Derryberry"/>
    <s v="No"/>
    <n v="208577270"/>
    <n v="286700000"/>
    <m/>
    <n v="28000000"/>
  </r>
  <r>
    <n v="144"/>
    <s v="Dawn of the Planet of the Apes"/>
    <n v="80"/>
    <x v="0"/>
    <x v="18"/>
    <n v="10300"/>
    <s v="Andy Serkis"/>
    <s v="Yes"/>
    <n v="208545589"/>
    <n v="495000000"/>
    <m/>
    <n v="170000000"/>
  </r>
  <r>
    <n v="145"/>
    <s v="The Martian"/>
    <n v="80"/>
    <x v="0"/>
    <x v="2"/>
    <n v="15685"/>
    <s v="Matt Damon"/>
    <s v="Yes"/>
    <n v="208455239"/>
    <n v="261400000"/>
    <m/>
    <n v="108000000"/>
  </r>
  <r>
    <n v="146"/>
    <s v="Charlie and the Chocolate Factory"/>
    <n v="60"/>
    <x v="3"/>
    <x v="17"/>
    <n v="13600"/>
    <s v="James Fox"/>
    <s v="No"/>
    <n v="206459076"/>
    <n v="269366408"/>
    <m/>
    <n v="150000000"/>
  </r>
  <r>
    <n v="147"/>
    <s v="Ratatouille"/>
    <n v="60"/>
    <x v="3"/>
    <x v="19"/>
    <n v="10915"/>
    <s v="Brad Garrett"/>
    <s v="No"/>
    <n v="206445654"/>
    <n v="420104041"/>
    <m/>
    <n v="150000000"/>
  </r>
  <r>
    <n v="148"/>
    <s v="Thor: The Dark World"/>
    <n v="90"/>
    <x v="2"/>
    <x v="9"/>
    <n v="16390"/>
    <s v="Natalie Portman"/>
    <s v="Yes"/>
    <n v="206360018"/>
    <n v="427000000"/>
    <m/>
    <n v="150000000"/>
  </r>
  <r>
    <n v="149"/>
    <s v="Ghost"/>
    <n v="40"/>
    <x v="4"/>
    <x v="24"/>
    <n v="12085"/>
    <s v="Demi Moore"/>
    <s v="No"/>
    <n v="206143657"/>
    <n v="299968694"/>
    <m/>
    <n v="22000000"/>
  </r>
  <r>
    <n v="150"/>
    <s v="Austin Powers: The Spy Who Shagged Me"/>
    <n v="20"/>
    <x v="5"/>
    <x v="5"/>
    <n v="12565"/>
    <s v="Eric Winzenried"/>
    <s v="Yes"/>
    <n v="205957794"/>
    <n v="104292551"/>
    <m/>
    <n v="35000000"/>
  </r>
  <r>
    <n v="151"/>
    <s v="Batman Begins"/>
    <n v="90"/>
    <x v="2"/>
    <x v="17"/>
    <n v="17785"/>
    <s v="Sara Stewart"/>
    <s v="No"/>
    <n v="205343774"/>
    <n v="153798948"/>
    <m/>
    <n v="150000000"/>
  </r>
  <r>
    <n v="152"/>
    <s v="The Exorcist"/>
    <n v="40"/>
    <x v="4"/>
    <x v="34"/>
    <n v="15130"/>
    <s v="Lee J. Cobb"/>
    <s v="No"/>
    <n v="204868002"/>
    <n v="197867132"/>
    <m/>
    <n v="12000000"/>
  </r>
  <r>
    <n v="153"/>
    <s v="The Amazing Spider-Man 2"/>
    <n v="90"/>
    <x v="2"/>
    <x v="9"/>
    <n v="10255"/>
    <s v="Andrew Garfield"/>
    <s v="Yes"/>
    <n v="202853933"/>
    <n v="100019072"/>
    <m/>
    <n v="110000000"/>
  </r>
  <r>
    <n v="154"/>
    <s v="World War Z"/>
    <n v="80"/>
    <x v="0"/>
    <x v="13"/>
    <n v="10930"/>
    <s v="Brad Pitt"/>
    <s v="No"/>
    <n v="202359711"/>
    <n v="329154939"/>
    <m/>
    <n v="190000000"/>
  </r>
  <r>
    <n v="155"/>
    <s v="The Mummy Returns"/>
    <n v="40"/>
    <x v="4"/>
    <x v="20"/>
    <n v="11035"/>
    <s v="Brendan Fraser"/>
    <s v="Yes"/>
    <n v="202007640"/>
    <n v="233032755"/>
    <m/>
    <n v="98000000"/>
  </r>
  <r>
    <n v="156"/>
    <s v="Terminator 2: Judgment Day"/>
    <n v="80"/>
    <x v="0"/>
    <x v="30"/>
    <n v="10525"/>
    <s v="Arnold Schwarzenegger"/>
    <s v="Yes"/>
    <n v="201858746"/>
    <n v="311956655"/>
    <m/>
    <n v="100000000"/>
  </r>
  <r>
    <n v="157"/>
    <s v="Armageddon"/>
    <n v="80"/>
    <x v="0"/>
    <x v="31"/>
    <n v="13585"/>
    <s v="James Fitzpatrick"/>
    <s v="No"/>
    <n v="201573391"/>
    <n v="353021818"/>
    <m/>
    <n v="140000000"/>
  </r>
  <r>
    <n v="158"/>
    <s v="Cinderella"/>
    <n v="40"/>
    <x v="4"/>
    <x v="18"/>
    <n v="16525"/>
    <s v="Nonso Anozie"/>
    <s v="No"/>
    <n v="201151353"/>
    <n v="178591415"/>
    <m/>
    <n v="2900000"/>
  </r>
  <r>
    <n v="159"/>
    <s v="Tangled"/>
    <n v="60"/>
    <x v="3"/>
    <x v="12"/>
    <n v="15460"/>
    <s v="Mandy Moore"/>
    <s v="No"/>
    <n v="200821936"/>
    <n v="385760000"/>
    <m/>
    <n v="260000000"/>
  </r>
  <r>
    <n v="160"/>
    <s v="Godzilla"/>
    <n v="80"/>
    <x v="0"/>
    <x v="18"/>
    <n v="12460"/>
    <s v="Elizabeth Olsen"/>
    <s v="No"/>
    <n v="200672193"/>
    <n v="239685706"/>
    <m/>
    <n v="125000000"/>
  </r>
  <r>
    <n v="161"/>
    <s v="Superman Returns"/>
    <n v="90"/>
    <x v="2"/>
    <x v="10"/>
    <n v="10975"/>
    <s v="Brandon Routh"/>
    <s v="No"/>
    <n v="200120000"/>
    <n v="173965065"/>
    <m/>
    <n v="232000000"/>
  </r>
  <r>
    <n v="162"/>
    <s v="Gone with the Wind"/>
    <n v="50"/>
    <x v="1"/>
    <x v="35"/>
    <n v="11560"/>
    <s v="Clark Gable"/>
    <s v="No"/>
    <n v="198680470"/>
    <n v="191844722"/>
    <m/>
    <n v="3900000"/>
  </r>
  <r>
    <n v="163"/>
    <s v="Pearl Harbor"/>
    <n v="20"/>
    <x v="5"/>
    <x v="20"/>
    <n v="10630"/>
    <s v="Ben Affleck"/>
    <s v="No"/>
    <n v="198539855"/>
    <n v="250700000"/>
    <m/>
    <n v="151500000"/>
  </r>
  <r>
    <n v="164"/>
    <s v="Monsters vs. Aliens"/>
    <n v="60"/>
    <x v="3"/>
    <x v="0"/>
    <n v="17110"/>
    <s v="Reese Witherspoon"/>
    <s v="No"/>
    <n v="198351526"/>
    <n v="183335854"/>
    <m/>
    <n v="175000000"/>
  </r>
  <r>
    <n v="165"/>
    <s v="Happy Feet"/>
    <n v="60"/>
    <x v="3"/>
    <x v="10"/>
    <n v="16255"/>
    <s v="Miriam Margolyes"/>
    <s v="No"/>
    <n v="198000317"/>
    <n v="187000000"/>
    <m/>
    <n v="85000000"/>
  </r>
  <r>
    <n v="166"/>
    <s v="Ice Age: Dawn of the Dinosaurs"/>
    <n v="60"/>
    <x v="3"/>
    <x v="0"/>
    <n v="15025"/>
    <s v="Kristen Wiig"/>
    <s v="Yes"/>
    <n v="196573705"/>
    <n v="663128152"/>
    <m/>
    <n v="90000000"/>
  </r>
  <r>
    <n v="167"/>
    <s v="Indiana Jones and the Last Crusade"/>
    <n v="40"/>
    <x v="4"/>
    <x v="27"/>
    <n v="13375"/>
    <s v="J.J. Hardy"/>
    <s v="Yes"/>
    <n v="195705225"/>
    <n v="277000000"/>
    <m/>
    <n v="48000000"/>
  </r>
  <r>
    <n v="168"/>
    <s v="Ice Age: The Meltdown"/>
    <n v="60"/>
    <x v="3"/>
    <x v="10"/>
    <n v="18190"/>
    <s v="Stephen Root"/>
    <s v="Yes"/>
    <n v="195330621"/>
    <n v="456568661"/>
    <m/>
    <n v="75000000"/>
  </r>
  <r>
    <n v="169"/>
    <s v="Mission: Impossible - Rogue Nation"/>
    <n v="10"/>
    <x v="6"/>
    <x v="2"/>
    <n v="18745"/>
    <s v="Tom Cruise"/>
    <s v="Yes"/>
    <n v="195042377"/>
    <n v="505825986"/>
    <m/>
    <n v="150000000"/>
  </r>
  <r>
    <n v="170"/>
    <s v="The Polar Express"/>
    <n v="60"/>
    <x v="3"/>
    <x v="7"/>
    <n v="18760"/>
    <s v="Tom Hanks"/>
    <s v="No"/>
    <n v="194949659"/>
    <n v="124100000"/>
    <m/>
    <n v="170000000"/>
  </r>
  <r>
    <n v="171"/>
    <s v="Madagascar"/>
    <n v="60"/>
    <x v="3"/>
    <x v="17"/>
    <n v="10660"/>
    <s v="Ben Stiller"/>
    <s v="No"/>
    <n v="193166575"/>
    <n v="362964045"/>
    <m/>
    <n v="75000000"/>
  </r>
  <r>
    <n v="172"/>
    <s v="Twilight"/>
    <n v="40"/>
    <x v="4"/>
    <x v="4"/>
    <n v="15010"/>
    <s v="Kristen Stewart"/>
    <s v="No"/>
    <n v="192769854"/>
    <n v="209510305"/>
    <m/>
    <n v="37000000"/>
  </r>
  <r>
    <n v="173"/>
    <s v="22 Jump Street"/>
    <n v="10"/>
    <x v="6"/>
    <x v="18"/>
    <n v="14395"/>
    <s v="Jonah Hill"/>
    <s v="Yes"/>
    <n v="191719337"/>
    <n v="139614539"/>
    <m/>
    <n v="50000000"/>
  </r>
  <r>
    <n v="174"/>
    <s v="Toy Story"/>
    <n v="60"/>
    <x v="3"/>
    <x v="36"/>
    <n v="18580"/>
    <s v="Tim Allen"/>
    <s v="No"/>
    <n v="191652928"/>
    <n v="172749283"/>
    <m/>
    <n v="30000000"/>
  </r>
  <r>
    <n v="175"/>
    <s v="Cars 2"/>
    <n v="60"/>
    <x v="3"/>
    <x v="13"/>
    <n v="16630"/>
    <s v="Owen Wilson"/>
    <s v="Yes"/>
    <n v="191450875"/>
    <n v="368704508"/>
    <m/>
    <n v="200000000"/>
  </r>
  <r>
    <n v="176"/>
    <s v="Teenage Mutant Ninja Turtles"/>
    <n v="90"/>
    <x v="2"/>
    <x v="18"/>
    <n v="15850"/>
    <s v="Megan Fox"/>
    <s v="No"/>
    <n v="191204754"/>
    <n v="66734085"/>
    <m/>
    <n v="13500000"/>
  </r>
  <r>
    <n v="177"/>
    <s v="Men in Black 2"/>
    <n v="80"/>
    <x v="0"/>
    <x v="14"/>
    <n v="18865"/>
    <s v="Tommy Lee Jones"/>
    <s v="Yes"/>
    <n v="190418803"/>
    <n v="251349000"/>
    <m/>
    <n v="140000000"/>
  </r>
  <r>
    <n v="178"/>
    <s v="Wreck-It Ralph"/>
    <n v="60"/>
    <x v="3"/>
    <x v="3"/>
    <n v="14290"/>
    <s v="John C. Reilly"/>
    <s v="No"/>
    <n v="189412677"/>
    <n v="284000000"/>
    <m/>
    <n v="165000000"/>
  </r>
  <r>
    <n v="179"/>
    <s v="Interstellar"/>
    <n v="80"/>
    <x v="0"/>
    <x v="18"/>
    <n v="15805"/>
    <s v="Matthew McConaughey"/>
    <s v="No"/>
    <n v="188017894"/>
    <n v="477400000"/>
    <m/>
    <n v="165000000"/>
  </r>
  <r>
    <n v="180"/>
    <s v="Gladiator"/>
    <n v="50"/>
    <x v="1"/>
    <x v="25"/>
    <n v="17605"/>
    <s v="Russell Crowe"/>
    <s v="No"/>
    <n v="187683805"/>
    <n v="270000000"/>
    <s v="Y"/>
    <n v="103000000"/>
  </r>
  <r>
    <n v="181"/>
    <s v="The Croods"/>
    <n v="60"/>
    <x v="3"/>
    <x v="3"/>
    <n v="17650"/>
    <s v="Ryan Reynolds"/>
    <s v="No"/>
    <n v="187168425"/>
    <n v="385900000"/>
    <m/>
    <n v="135000000"/>
  </r>
  <r>
    <n v="182"/>
    <s v="Sherlock Holmes: A Game of Shadows"/>
    <n v="50"/>
    <x v="1"/>
    <x v="13"/>
    <n v="17335"/>
    <s v="Robert Downey, Jr."/>
    <s v="Yes"/>
    <n v="186848418"/>
    <n v="348815025"/>
    <m/>
    <n v="125000000"/>
  </r>
  <r>
    <n v="183"/>
    <s v="The Day After Tomorrow"/>
    <n v="80"/>
    <x v="0"/>
    <x v="7"/>
    <n v="10060"/>
    <s v="Adrian Lester"/>
    <s v="No"/>
    <n v="186740799"/>
    <n v="369578651"/>
    <m/>
    <n v="125000000"/>
  </r>
  <r>
    <n v="184"/>
    <s v="Mr. and Mrs. Smith"/>
    <n v="10"/>
    <x v="6"/>
    <x v="17"/>
    <n v="10930"/>
    <s v="Brad Pitt"/>
    <s v="No"/>
    <n v="186336279"/>
    <n v="299787811"/>
    <m/>
    <n v="110000000"/>
  </r>
  <r>
    <n v="185"/>
    <s v="Snow White and the Seven Dwarfs"/>
    <n v="40"/>
    <x v="4"/>
    <x v="37"/>
    <n v="10000"/>
    <s v="Unidentified"/>
    <s v="No"/>
    <n v="184925485"/>
    <n v="0"/>
    <m/>
    <n v="1488000"/>
  </r>
  <r>
    <n v="186"/>
    <s v="Batman Forever"/>
    <n v="90"/>
    <x v="2"/>
    <x v="36"/>
    <n v="14935"/>
    <s v="Kimberly Scott"/>
    <s v="Yes"/>
    <n v="183997904"/>
    <n v="152498032"/>
    <m/>
    <n v="100000000"/>
  </r>
  <r>
    <n v="187"/>
    <s v="Pitch Perfect 2"/>
    <n v="10"/>
    <x v="6"/>
    <x v="18"/>
    <n v="10390"/>
    <s v="Anna Kendrick"/>
    <s v="Yes"/>
    <n v="183785415"/>
    <n v="102847847"/>
    <m/>
    <n v="29000000"/>
  </r>
  <r>
    <n v="188"/>
    <s v="Ocean's Eleven"/>
    <n v="10"/>
    <x v="6"/>
    <x v="20"/>
    <n v="12925"/>
    <s v="George Clooney"/>
    <s v="No"/>
    <n v="183417150"/>
    <n v="267311379"/>
    <m/>
    <n v="85000000"/>
  </r>
  <r>
    <n v="189"/>
    <s v="The Simpsons Movie"/>
    <n v="10"/>
    <x v="6"/>
    <x v="19"/>
    <n v="11785"/>
    <s v="Dan Castellaneta"/>
    <s v="No"/>
    <n v="183135014"/>
    <n v="343936008"/>
    <m/>
    <n v="72500000"/>
  </r>
  <r>
    <n v="190"/>
    <s v="What Women Want"/>
    <n v="10"/>
    <x v="6"/>
    <x v="25"/>
    <n v="15865"/>
    <s v="Mel Gibson"/>
    <s v="No"/>
    <n v="182805123"/>
    <n v="191300000"/>
    <m/>
    <n v="65000000"/>
  </r>
  <r>
    <n v="191"/>
    <s v="The Perfect Storm"/>
    <n v="20"/>
    <x v="5"/>
    <x v="25"/>
    <n v="12925"/>
    <s v="George Clooney"/>
    <s v="No"/>
    <n v="182618434"/>
    <n v="146093000"/>
    <m/>
    <n v="120000000"/>
  </r>
  <r>
    <n v="192"/>
    <s v="Lincoln"/>
    <n v="20"/>
    <x v="5"/>
    <x v="13"/>
    <n v="11845"/>
    <s v="Daniel Day-Lewis"/>
    <s v="No"/>
    <n v="182207973"/>
    <n v="91138308"/>
    <m/>
    <n v="65000000"/>
  </r>
  <r>
    <n v="193"/>
    <s v="Grease"/>
    <n v="50"/>
    <x v="1"/>
    <x v="38"/>
    <n v="14320"/>
    <s v="John Travolta"/>
    <s v="No"/>
    <n v="181813770"/>
    <n v="205700000"/>
    <m/>
    <n v="6000000"/>
  </r>
  <r>
    <n v="194"/>
    <s v="Liar Liar"/>
    <n v="10"/>
    <x v="6"/>
    <x v="1"/>
    <n v="14155"/>
    <s v="Jim Carrey"/>
    <s v="No"/>
    <n v="181395380"/>
    <n v="121300000"/>
    <m/>
    <n v="45000000"/>
  </r>
  <r>
    <n v="195"/>
    <s v="Jurassic Park III"/>
    <n v="80"/>
    <x v="0"/>
    <x v="20"/>
    <n v="18085"/>
    <s v="Sonia Jackson"/>
    <s v="Yes"/>
    <n v="181166115"/>
    <n v="184733885"/>
    <m/>
    <n v="93000000"/>
  </r>
  <r>
    <n v="196"/>
    <s v="Thor"/>
    <n v="90"/>
    <x v="2"/>
    <x v="13"/>
    <n v="14785"/>
    <s v="Kelly Hawthorne"/>
    <s v="No"/>
    <n v="181030624"/>
    <n v="268295994"/>
    <m/>
    <n v="150000000"/>
  </r>
  <r>
    <n v="197"/>
    <s v="Mission: Impossible"/>
    <n v="10"/>
    <x v="6"/>
    <x v="22"/>
    <n v="14380"/>
    <s v="Jon Voight"/>
    <s v="No"/>
    <n v="180891004"/>
    <n v="276716108"/>
    <m/>
    <n v="80000000"/>
  </r>
  <r>
    <n v="198"/>
    <s v="Planet of the Apes"/>
    <n v="80"/>
    <x v="0"/>
    <x v="20"/>
    <n v="15565"/>
    <s v="Mark Wahlberg"/>
    <s v="No"/>
    <n v="180011740"/>
    <n v="182200000"/>
    <m/>
    <n v="100000000"/>
  </r>
  <r>
    <n v="199"/>
    <s v="Madagascar: Escape 2 Africa"/>
    <n v="60"/>
    <x v="3"/>
    <x v="4"/>
    <n v="17665"/>
    <s v="Sacha Baron Cohen"/>
    <s v="Yes"/>
    <n v="180010950"/>
    <n v="419505894"/>
    <m/>
    <n v="150000000"/>
  </r>
  <r>
    <n v="200"/>
    <s v="X-Men Origins: Wolverine"/>
    <n v="90"/>
    <x v="2"/>
    <x v="0"/>
    <n v="13270"/>
    <s v="Hugh Jackman"/>
    <s v="No"/>
    <n v="179883157"/>
    <n v="284000000"/>
    <m/>
    <n v="165000000"/>
  </r>
  <r>
    <n v="201"/>
    <s v="Top Gun"/>
    <n v="10"/>
    <x v="6"/>
    <x v="39"/>
    <n v="18745"/>
    <s v="Tom Cruise"/>
    <s v="No"/>
    <n v="179800601"/>
    <n v="177000000"/>
    <m/>
    <n v="15000000"/>
  </r>
  <r>
    <n v="202"/>
    <s v="Ant-Man"/>
    <n v="90"/>
    <x v="2"/>
    <x v="2"/>
    <n v="16795"/>
    <s v="Paul Rudd"/>
    <s v="No"/>
    <n v="179750975"/>
    <n v="337900000"/>
    <m/>
    <n v="130000000"/>
  </r>
  <r>
    <n v="203"/>
    <s v="Men in Black 3"/>
    <n v="80"/>
    <x v="0"/>
    <x v="13"/>
    <n v="10795"/>
    <s v="Bill Hader"/>
    <s v="Yes"/>
    <n v="179020854"/>
    <n v="475192631"/>
    <m/>
    <n v="215000000"/>
  </r>
  <r>
    <n v="204"/>
    <s v="Hitch"/>
    <n v="10"/>
    <x v="6"/>
    <x v="17"/>
    <n v="16945"/>
    <s v="Philip Bosco"/>
    <s v="No"/>
    <n v="177784257"/>
    <n v="189000000"/>
    <m/>
    <n v="55000000"/>
  </r>
  <r>
    <n v="205"/>
    <s v="Home"/>
    <n v="60"/>
    <x v="3"/>
    <x v="18"/>
    <n v="14170"/>
    <s v="Jim Parsons"/>
    <s v="No"/>
    <n v="177397510"/>
    <n v="208688443"/>
    <m/>
    <n v="130000000"/>
  </r>
  <r>
    <n v="206"/>
    <s v="Night at the Museum: Battle of the Smithsonian"/>
    <n v="40"/>
    <x v="4"/>
    <x v="0"/>
    <n v="10660"/>
    <s v="Ben Stiller"/>
    <s v="Yes"/>
    <n v="177243721"/>
    <n v="224987342"/>
    <m/>
    <n v="150000000"/>
  </r>
  <r>
    <n v="207"/>
    <s v="How to Train Your Dragon 2"/>
    <n v="40"/>
    <x v="4"/>
    <x v="9"/>
    <n v="13870"/>
    <s v="Jay Baruchel"/>
    <s v="Yes"/>
    <n v="177002924"/>
    <n v="439100000"/>
    <m/>
    <n v="145000000"/>
  </r>
  <r>
    <n v="208"/>
    <s v="Rise of the Planet of the Apes"/>
    <n v="80"/>
    <x v="0"/>
    <x v="13"/>
    <n v="13615"/>
    <s v="James Franco"/>
    <s v="No"/>
    <n v="176760185"/>
    <n v="306100000"/>
    <m/>
    <n v="93000000"/>
  </r>
  <r>
    <n v="209"/>
    <s v="Captain America: The First Avenger"/>
    <n v="90"/>
    <x v="2"/>
    <x v="13"/>
    <n v="13285"/>
    <s v="Hugo Weaving"/>
    <s v="No"/>
    <n v="176654505"/>
    <n v="193915271"/>
    <m/>
    <n v="140000000"/>
  </r>
  <r>
    <n v="210"/>
    <s v="The Karate Kid"/>
    <n v="10"/>
    <x v="6"/>
    <x v="0"/>
    <n v="18445"/>
    <s v="Taraji P. Henson"/>
    <s v="No"/>
    <n v="176591618"/>
    <n v="175183320"/>
    <m/>
    <n v="40000000"/>
  </r>
  <r>
    <n v="211"/>
    <s v="There's Something About Mary"/>
    <n v="10"/>
    <x v="6"/>
    <x v="31"/>
    <n v="19075"/>
    <s v="W. Earl Brown"/>
    <s v="No"/>
    <n v="176483808"/>
    <n v="183615348"/>
    <m/>
    <n v="22000000"/>
  </r>
  <r>
    <n v="212"/>
    <s v="Ice Age"/>
    <n v="60"/>
    <x v="3"/>
    <x v="14"/>
    <n v="18190"/>
    <s v="Stephen Root"/>
    <s v="No"/>
    <n v="176387405"/>
    <n v="209728938"/>
    <m/>
    <n v="65000000"/>
  </r>
  <r>
    <n v="213"/>
    <s v="Tootsie"/>
    <n v="10"/>
    <x v="6"/>
    <x v="8"/>
    <n v="11305"/>
    <s v="Charles Durning"/>
    <s v="No"/>
    <n v="176188774"/>
    <n v="0"/>
    <m/>
    <n v="15000000"/>
  </r>
  <r>
    <n v="214"/>
    <s v="The Bourne Supremacy"/>
    <n v="10"/>
    <x v="6"/>
    <x v="7"/>
    <n v="11350"/>
    <s v="Chris Cooper"/>
    <s v="Yes"/>
    <n v="176087450"/>
    <n v="112500000"/>
    <m/>
    <n v="85000000"/>
  </r>
  <r>
    <n v="215"/>
    <s v="Dances with Wolves"/>
    <n v="50"/>
    <x v="1"/>
    <x v="24"/>
    <n v="16120"/>
    <s v="Michael Spears"/>
    <s v="No"/>
    <n v="175293948"/>
    <n v="239991158"/>
    <m/>
    <n v="19000000"/>
  </r>
  <r>
    <n v="216"/>
    <s v="Pretty Woman"/>
    <n v="10"/>
    <x v="6"/>
    <x v="24"/>
    <n v="13195"/>
    <s v="Hector Elizondo"/>
    <s v="No"/>
    <n v="175119672"/>
    <n v="254239604"/>
    <m/>
    <n v="14000000"/>
  </r>
  <r>
    <n v="217"/>
    <s v="Indiana Jones and the Temple of Doom"/>
    <n v="50"/>
    <x v="1"/>
    <x v="29"/>
    <n v="11530"/>
    <s v="Chua Kah Joo"/>
    <s v="Yes"/>
    <n v="175083524"/>
    <n v="153200000"/>
    <m/>
    <n v="28000000"/>
  </r>
  <r>
    <n v="218"/>
    <s v="Elf"/>
    <n v="60"/>
    <x v="3"/>
    <x v="16"/>
    <n v="16855"/>
    <s v="Peter Dinklage"/>
    <s v="No"/>
    <n v="173398518"/>
    <n v="46837892"/>
    <m/>
    <n v="32000000"/>
  </r>
  <r>
    <n v="219"/>
    <s v="National Treasure"/>
    <n v="10"/>
    <x v="6"/>
    <x v="7"/>
    <n v="11515"/>
    <s v="Christopher Plummer"/>
    <s v="No"/>
    <n v="173005002"/>
    <n v="158318408"/>
    <m/>
    <n v="100000000"/>
  </r>
  <r>
    <n v="220"/>
    <s v="Air Force One"/>
    <n v="10"/>
    <x v="6"/>
    <x v="1"/>
    <n v="18640"/>
    <s v="Timothy Carhart"/>
    <s v="No"/>
    <n v="172620724"/>
    <n v="142311944"/>
    <m/>
    <n v="85000000"/>
  </r>
  <r>
    <n v="221"/>
    <s v="The Fugitive"/>
    <n v="10"/>
    <x v="6"/>
    <x v="15"/>
    <n v="16435"/>
    <s v="Nick Searcy"/>
    <s v="No"/>
    <n v="172494360"/>
    <n v="169839557"/>
    <m/>
    <n v="44000000"/>
  </r>
  <r>
    <n v="222"/>
    <s v="Tron: Legacy"/>
    <n v="80"/>
    <x v="0"/>
    <x v="12"/>
    <n v="12865"/>
    <s v="Garrett Hedlund"/>
    <s v="Yes"/>
    <n v="172062763"/>
    <n v="225500000"/>
    <m/>
    <n v="200000000"/>
  </r>
  <r>
    <n v="223"/>
    <s v="Apollo 13"/>
    <n v="20"/>
    <x v="5"/>
    <x v="36"/>
    <n v="12835"/>
    <s v="Gabriel Jarret"/>
    <s v="No"/>
    <n v="172036360"/>
    <n v="162029504"/>
    <m/>
    <n v="65000000"/>
  </r>
  <r>
    <n v="224"/>
    <s v="The Matrix"/>
    <n v="80"/>
    <x v="0"/>
    <x v="5"/>
    <n v="14755"/>
    <s v="Keanu Reeves"/>
    <s v="No"/>
    <n v="171383253"/>
    <n v="292037453"/>
    <m/>
    <n v="65000000"/>
  </r>
  <r>
    <n v="225"/>
    <s v="Tarzan"/>
    <n v="50"/>
    <x v="1"/>
    <x v="5"/>
    <n v="18910"/>
    <s v="Tony Goldwyn"/>
    <s v="No"/>
    <n v="171091819"/>
    <n v="277100000"/>
    <m/>
    <n v="145000000"/>
  </r>
  <r>
    <n v="226"/>
    <s v="True Grit"/>
    <n v="50"/>
    <x v="1"/>
    <x v="12"/>
    <n v="13915"/>
    <s v="Jeff Bridges"/>
    <s v="No"/>
    <n v="171050328"/>
    <n v="81033923"/>
    <m/>
    <n v="35000000"/>
  </r>
  <r>
    <n v="227"/>
    <s v="A Beautiful Mind"/>
    <n v="20"/>
    <x v="5"/>
    <x v="20"/>
    <n v="17500"/>
    <s v="Ron Howard"/>
    <s v="No"/>
    <n v="170708996"/>
    <n v="146959062"/>
    <s v="Y"/>
    <n v="78000000"/>
  </r>
  <r>
    <n v="228"/>
    <s v="Chicago"/>
    <n v="50"/>
    <x v="1"/>
    <x v="14"/>
    <n v="11335"/>
    <s v="Chita Rivera"/>
    <s v="No"/>
    <n v="170687518"/>
    <n v="137000000"/>
    <m/>
    <n v="30000000"/>
  </r>
  <r>
    <n v="229"/>
    <s v="Home Alone 2: Lost in New York"/>
    <n v="10"/>
    <x v="6"/>
    <x v="33"/>
    <n v="17200"/>
    <s v="Rip Taylor"/>
    <s v="Yes"/>
    <n v="170004045"/>
    <n v="185409334"/>
    <m/>
    <n v="20000000"/>
  </r>
  <r>
    <n v="230"/>
    <s v="The Help"/>
    <n v="50"/>
    <x v="1"/>
    <x v="12"/>
    <n v="12520"/>
    <s v="Emma Stone"/>
    <s v="No"/>
    <n v="169705587"/>
    <n v="43414417"/>
    <m/>
    <n v="25000000"/>
  </r>
  <r>
    <n v="231"/>
    <s v="Quantum of Solace"/>
    <n v="10"/>
    <x v="6"/>
    <x v="4"/>
    <n v="11830"/>
    <s v="Daniel Craig"/>
    <s v="Yes"/>
    <n v="169368427"/>
    <n v="422323651"/>
    <m/>
    <n v="230000000"/>
  </r>
  <r>
    <n v="232"/>
    <s v="Bridesmaids"/>
    <n v="10"/>
    <x v="6"/>
    <x v="13"/>
    <n v="15025"/>
    <s v="Kristen Wiig"/>
    <s v="No"/>
    <n v="169106725"/>
    <n v="120420305"/>
    <m/>
    <n v="32500000"/>
  </r>
  <r>
    <n v="233"/>
    <s v="Wild Hogs"/>
    <n v="10"/>
    <x v="6"/>
    <x v="19"/>
    <n v="14320"/>
    <s v="John Travolta"/>
    <s v="No"/>
    <n v="168213584"/>
    <n v="84800000"/>
    <m/>
    <n v="0"/>
  </r>
  <r>
    <n v="234"/>
    <s v="Crocodile Dundee"/>
    <n v="10"/>
    <x v="6"/>
    <x v="39"/>
    <n v="15310"/>
    <s v="Linda Kozlowski"/>
    <s v="No"/>
    <n v="168134511"/>
    <n v="153400000"/>
    <m/>
    <n v="8800000"/>
  </r>
  <r>
    <n v="235"/>
    <s v="Rain Man"/>
    <n v="10"/>
    <x v="6"/>
    <x v="40"/>
    <n v="18745"/>
    <s v="Tom Cruise"/>
    <s v="No"/>
    <n v="168106313"/>
    <n v="239974565"/>
    <s v="Y"/>
    <n v="25000000"/>
  </r>
  <r>
    <n v="236"/>
    <s v="Gone Girl"/>
    <n v="10"/>
    <x v="6"/>
    <x v="18"/>
    <n v="10630"/>
    <s v="Ben Affleck"/>
    <s v="No"/>
    <n v="167767189"/>
    <n v="200800000"/>
    <m/>
    <n v="61000000"/>
  </r>
  <r>
    <n v="237"/>
    <s v="Casino Royale"/>
    <n v="10"/>
    <x v="6"/>
    <x v="10"/>
    <n v="13360"/>
    <s v="Ivana Milicevic"/>
    <s v="Yes"/>
    <n v="167220102"/>
    <n v="427055283"/>
    <m/>
    <n v="102000000"/>
  </r>
  <r>
    <n v="238"/>
    <s v="Meet the Parents"/>
    <n v="10"/>
    <x v="6"/>
    <x v="25"/>
    <n v="10660"/>
    <s v="Ben Stiller"/>
    <s v="No"/>
    <n v="166225040"/>
    <n v="138374859"/>
    <m/>
    <n v="55000000"/>
  </r>
  <r>
    <n v="239"/>
    <s v="Fifty Shades of Grey"/>
    <n v="10"/>
    <x v="6"/>
    <x v="9"/>
    <n v="11725"/>
    <s v="Dakota Johnson"/>
    <s v="No"/>
    <n v="166167230"/>
    <n v="404288027"/>
    <m/>
    <n v="40000000"/>
  </r>
  <r>
    <n v="240"/>
    <s v="2012"/>
    <n v="80"/>
    <x v="0"/>
    <x v="0"/>
    <n v="11275"/>
    <s v="Chang Tseng"/>
    <s v="No"/>
    <n v="166112167"/>
    <n v="622296372"/>
    <m/>
    <n v="200000000"/>
  </r>
  <r>
    <n v="241"/>
    <s v="Close Encounters of the Third Kind"/>
    <n v="80"/>
    <x v="0"/>
    <x v="6"/>
    <n v="15880"/>
    <s v="Melinda Dillon"/>
    <s v="No"/>
    <n v="166000000"/>
    <n v="171700000"/>
    <m/>
    <n v="20000000"/>
  </r>
  <r>
    <n v="242"/>
    <s v="Hotel Transylvania 2"/>
    <n v="60"/>
    <x v="3"/>
    <x v="2"/>
    <n v="10015"/>
    <s v="Adam Sandler"/>
    <s v="Yes"/>
    <n v="165447891"/>
    <n v="242900000"/>
    <m/>
    <n v="80000000"/>
  </r>
  <r>
    <n v="243"/>
    <s v="Robin Hood: Prince of Thieves"/>
    <n v="50"/>
    <x v="1"/>
    <x v="30"/>
    <n v="15640"/>
    <s v="Mary Elizabeth Mastrantonio"/>
    <s v="No"/>
    <n v="165360108"/>
    <n v="225006092"/>
    <m/>
    <n v="50000000"/>
  </r>
  <r>
    <n v="244"/>
    <s v="Kung Fu Panda 2"/>
    <n v="60"/>
    <x v="3"/>
    <x v="13"/>
    <n v="12325"/>
    <s v="Dustin Hoffman"/>
    <s v="Yes"/>
    <n v="165249063"/>
    <n v="499588484"/>
    <m/>
    <n v="150000000"/>
  </r>
  <r>
    <n v="245"/>
    <s v="Hannibal"/>
    <n v="10"/>
    <x v="6"/>
    <x v="20"/>
    <n v="14500"/>
    <s v="Judie Aronson"/>
    <s v="No"/>
    <n v="165091986"/>
    <n v="185008014"/>
    <m/>
    <n v="87000000"/>
  </r>
  <r>
    <n v="246"/>
    <s v="Catch Me if You Can"/>
    <n v="20"/>
    <x v="5"/>
    <x v="14"/>
    <n v="10135"/>
    <s v="Alex Hyde-White"/>
    <s v="No"/>
    <n v="164606800"/>
    <n v="191005491"/>
    <m/>
    <n v="52000000"/>
  </r>
  <r>
    <n v="247"/>
    <s v="3 Men and a Baby"/>
    <n v="10"/>
    <x v="6"/>
    <x v="41"/>
    <n v="12130"/>
    <s v="Derek de Lint"/>
    <s v="No"/>
    <n v="164016972"/>
    <n v="0"/>
    <m/>
    <n v="15000000"/>
  </r>
  <r>
    <n v="248"/>
    <s v="The Proposal"/>
    <n v="10"/>
    <x v="6"/>
    <x v="0"/>
    <n v="17770"/>
    <s v="Sandra Bullock"/>
    <s v="No"/>
    <n v="163958031"/>
    <n v="150751686"/>
    <m/>
    <n v="40000000"/>
  </r>
  <r>
    <n v="249"/>
    <s v="Big Daddy"/>
    <n v="10"/>
    <x v="6"/>
    <x v="5"/>
    <n v="16840"/>
    <s v="Peter Dante"/>
    <s v="No"/>
    <n v="163479795"/>
    <n v="65161488"/>
    <m/>
    <n v="30000000"/>
  </r>
  <r>
    <n v="250"/>
    <s v="Clash of the Titans"/>
    <n v="40"/>
    <x v="4"/>
    <x v="12"/>
    <n v="10150"/>
    <s v="Alexa Davalos"/>
    <s v="No"/>
    <n v="163214888"/>
    <n v="330000000"/>
    <m/>
    <n v="125000000"/>
  </r>
  <r>
    <n v="251"/>
    <s v="The Sound of Music"/>
    <n v="50"/>
    <x v="1"/>
    <x v="42"/>
    <n v="11515"/>
    <s v="Christopher Plummer"/>
    <s v="No"/>
    <n v="163214286"/>
    <n v="123000000"/>
    <s v="Y"/>
    <n v="8200000"/>
  </r>
  <r>
    <n v="252"/>
    <s v="The SpongeBob Movie: Sponge Out of Water"/>
    <n v="60"/>
    <x v="3"/>
    <x v="18"/>
    <n v="10765"/>
    <s v="Bill Fagerbakke"/>
    <s v="No"/>
    <n v="162994032"/>
    <n v="148600000"/>
    <m/>
    <n v="74000000"/>
  </r>
  <r>
    <n v="253"/>
    <s v="Batman Returns"/>
    <n v="90"/>
    <x v="2"/>
    <x v="33"/>
    <n v="11005"/>
    <s v="Branscombe Richmond"/>
    <s v="Yes"/>
    <n v="162833635"/>
    <n v="103990656"/>
    <m/>
    <n v="80000000"/>
  </r>
  <r>
    <n v="254"/>
    <s v="Django Unchained"/>
    <n v="50"/>
    <x v="1"/>
    <x v="13"/>
    <n v="13735"/>
    <s v="Jamie Foxx"/>
    <s v="No"/>
    <n v="162805434"/>
    <n v="262568254"/>
    <m/>
    <n v="100000000"/>
  </r>
  <r>
    <n v="255"/>
    <s v="A Bug's Life"/>
    <n v="40"/>
    <x v="4"/>
    <x v="31"/>
    <n v="10780"/>
    <s v="Bill Farmer"/>
    <s v="No"/>
    <n v="162792677"/>
    <n v="200296754"/>
    <m/>
    <n v="45000000"/>
  </r>
  <r>
    <n v="256"/>
    <s v="The Pursuit of Happyness"/>
    <n v="20"/>
    <x v="5"/>
    <x v="10"/>
    <n v="19165"/>
    <s v="Will Smith"/>
    <s v="No"/>
    <n v="162586036"/>
    <n v="144739597"/>
    <m/>
    <n v="55000000"/>
  </r>
  <r>
    <n v="257"/>
    <s v="Grown Ups"/>
    <n v="10"/>
    <x v="6"/>
    <x v="12"/>
    <n v="13720"/>
    <s v="Jamie Chung"/>
    <s v="No"/>
    <n v="162001186"/>
    <n v="110222244"/>
    <m/>
    <n v="75000000"/>
  </r>
  <r>
    <n v="258"/>
    <s v="The Waterboy"/>
    <n v="10"/>
    <x v="6"/>
    <x v="31"/>
    <n v="10015"/>
    <s v="Adam Sandler"/>
    <s v="No"/>
    <n v="161487252"/>
    <n v="28700000"/>
    <m/>
    <n v="23000000"/>
  </r>
  <r>
    <n v="259"/>
    <s v="Shark Tale"/>
    <n v="60"/>
    <x v="3"/>
    <x v="7"/>
    <n v="19165"/>
    <s v="Will Smith"/>
    <s v="No"/>
    <n v="161412000"/>
    <n v="210505043"/>
    <m/>
    <n v="75000000"/>
  </r>
  <r>
    <n v="260"/>
    <s v="Ice Age: Continental Drift"/>
    <n v="40"/>
    <x v="4"/>
    <x v="3"/>
    <n v="17080"/>
    <s v="Ray Romano"/>
    <s v="Yes"/>
    <n v="161321843"/>
    <n v="718443294"/>
    <m/>
    <n v="95000000"/>
  </r>
  <r>
    <n v="261"/>
    <s v="Straight Outta Compton"/>
    <n v="20"/>
    <x v="5"/>
    <x v="2"/>
    <n v="16600"/>
    <s v="O'Shea Jackson, Jr."/>
    <s v="No"/>
    <n v="161058685"/>
    <n v="38963601"/>
    <m/>
    <n v="28000000"/>
  </r>
  <r>
    <n v="262"/>
    <s v="Die Another Day"/>
    <n v="10"/>
    <x v="6"/>
    <x v="14"/>
    <n v="15430"/>
    <s v="Madonna"/>
    <s v="Yes"/>
    <n v="160932247"/>
    <n v="271000000"/>
    <m/>
    <n v="142000000"/>
  </r>
  <r>
    <n v="263"/>
    <s v="The Sting"/>
    <n v="50"/>
    <x v="1"/>
    <x v="34"/>
    <n v="16780"/>
    <s v="Paul Newman"/>
    <s v="No"/>
    <n v="159616327"/>
    <n v="0"/>
    <s v="Y"/>
    <n v="5500000"/>
  </r>
  <r>
    <n v="264"/>
    <s v="The Heat"/>
    <n v="10"/>
    <x v="6"/>
    <x v="9"/>
    <n v="17770"/>
    <s v="Sandra Bullock"/>
    <s v="No"/>
    <n v="159581587"/>
    <n v="70146187"/>
    <m/>
    <n v="43000000"/>
  </r>
  <r>
    <n v="265"/>
    <s v="The Firm"/>
    <n v="10"/>
    <x v="6"/>
    <x v="15"/>
    <n v="18700"/>
    <s v="Tobin Bell"/>
    <s v="No"/>
    <n v="158340892"/>
    <n v="112000000"/>
    <m/>
    <n v="42000000"/>
  </r>
  <r>
    <n v="266"/>
    <s v="The Longest Yard"/>
    <n v="10"/>
    <x v="6"/>
    <x v="17"/>
    <n v="10015"/>
    <s v="Adam Sandler"/>
    <s v="No"/>
    <n v="158119460"/>
    <n v="32201108"/>
    <m/>
    <n v="82000000"/>
  </r>
  <r>
    <n v="267"/>
    <s v="X-Men"/>
    <n v="90"/>
    <x v="2"/>
    <x v="25"/>
    <n v="16660"/>
    <s v="Patrick Stewart"/>
    <s v="No"/>
    <n v="157299717"/>
    <n v="284000000"/>
    <m/>
    <n v="165000000"/>
  </r>
  <r>
    <n v="268"/>
    <s v="Scary Movie"/>
    <n v="10"/>
    <x v="6"/>
    <x v="25"/>
    <n v="17950"/>
    <s v="Shannon Elizabeth"/>
    <s v="No"/>
    <n v="157019771"/>
    <n v="120180229"/>
    <m/>
    <n v="19000000"/>
  </r>
  <r>
    <n v="269"/>
    <s v="What Lies Beneath"/>
    <n v="10"/>
    <x v="6"/>
    <x v="25"/>
    <n v="13120"/>
    <s v="Harrison Ford"/>
    <s v="No"/>
    <n v="155370362"/>
    <n v="133229638"/>
    <m/>
    <n v="90000000"/>
  </r>
  <r>
    <n v="270"/>
    <s v="The Mummy"/>
    <n v="40"/>
    <x v="4"/>
    <x v="5"/>
    <n v="11035"/>
    <s v="Brendan Fraser"/>
    <s v="No"/>
    <n v="155247825"/>
    <n v="261000000"/>
    <m/>
    <n v="80000000"/>
  </r>
  <r>
    <n v="271"/>
    <s v="San Andreas"/>
    <n v="80"/>
    <x v="0"/>
    <x v="2"/>
    <n v="12355"/>
    <s v="Dwayne Johnson"/>
    <s v="No"/>
    <n v="155190832"/>
    <n v="314400000"/>
    <m/>
    <n v="110000000"/>
  </r>
  <r>
    <n v="272"/>
    <s v="Snow White and the Huntsman"/>
    <n v="40"/>
    <x v="4"/>
    <x v="13"/>
    <n v="15010"/>
    <s v="Kristen Stewart"/>
    <s v="No"/>
    <n v="155136755"/>
    <n v="245880169"/>
    <m/>
    <n v="170000000"/>
  </r>
  <r>
    <n v="273"/>
    <s v="Fast &amp; Furious"/>
    <n v="10"/>
    <x v="6"/>
    <x v="0"/>
    <n v="18040"/>
    <s v="Shea Whigham"/>
    <s v="Yes"/>
    <n v="155064265"/>
    <n v="208000000"/>
    <m/>
    <n v="85000000"/>
  </r>
  <r>
    <n v="274"/>
    <s v="Over the Hedge"/>
    <n v="60"/>
    <x v="3"/>
    <x v="10"/>
    <n v="11095"/>
    <s v="Bruce Willis"/>
    <s v="No"/>
    <n v="155019340"/>
    <n v="180983641"/>
    <m/>
    <n v="80000000"/>
  </r>
  <r>
    <n v="275"/>
    <s v="Fantastic Four"/>
    <n v="90"/>
    <x v="2"/>
    <x v="17"/>
    <n v="18160"/>
    <s v="Stan Lee"/>
    <s v="No"/>
    <n v="154695569"/>
    <n v="111000000"/>
    <m/>
    <n v="120000000"/>
  </r>
  <r>
    <n v="276"/>
    <s v="Horton Hears a Who"/>
    <n v="40"/>
    <x v="4"/>
    <x v="4"/>
    <n v="16150"/>
    <s v="Mickie McGowan"/>
    <s v="No"/>
    <n v="154529439"/>
    <n v="144948447"/>
    <m/>
    <n v="85000000"/>
  </r>
  <r>
    <n v="277"/>
    <s v="Mad Max: Fury Road"/>
    <n v="80"/>
    <x v="0"/>
    <x v="2"/>
    <n v="18775"/>
    <s v="Tom Hardy"/>
    <s v="Yes"/>
    <n v="153636354"/>
    <n v="219500000"/>
    <m/>
    <n v="150000000"/>
  </r>
  <r>
    <n v="278"/>
    <s v="Jerry Maguire"/>
    <n v="10"/>
    <x v="6"/>
    <x v="22"/>
    <n v="14410"/>
    <s v="Jordan Ross"/>
    <s v="No"/>
    <n v="153620822"/>
    <n v="120047408"/>
    <m/>
    <n v="50000000"/>
  </r>
  <r>
    <n v="279"/>
    <s v="Scooby-Doo"/>
    <n v="60"/>
    <x v="3"/>
    <x v="14"/>
    <n v="15790"/>
    <s v="Matthew Lillard"/>
    <s v="No"/>
    <n v="153294164"/>
    <n v="123000000"/>
    <m/>
    <n v="84000000"/>
  </r>
  <r>
    <n v="280"/>
    <s v="101 Dalmatians"/>
    <n v="10"/>
    <x v="6"/>
    <x v="43"/>
    <n v="17455"/>
    <s v="Rod Taylor"/>
    <s v="No"/>
    <n v="153000000"/>
    <n v="0"/>
    <m/>
    <n v="0"/>
  </r>
  <r>
    <n v="281"/>
    <s v="Beverly Hills Cop II"/>
    <n v="10"/>
    <x v="6"/>
    <x v="41"/>
    <n v="10165"/>
    <s v="Allen Garfield"/>
    <s v="Yes"/>
    <n v="152932902"/>
    <n v="123000000"/>
    <m/>
    <n v="20000000"/>
  </r>
  <r>
    <n v="282"/>
    <s v="Sex and the City"/>
    <n v="10"/>
    <x v="6"/>
    <x v="4"/>
    <n v="17800"/>
    <s v="Sarah Jessica Parker"/>
    <s v="No"/>
    <n v="152647258"/>
    <n v="262600000"/>
    <m/>
    <n v="57500000"/>
  </r>
  <r>
    <n v="283"/>
    <s v="Runaway Bride"/>
    <n v="10"/>
    <x v="6"/>
    <x v="5"/>
    <n v="14530"/>
    <s v="Julia Roberts"/>
    <s v="No"/>
    <n v="152149590"/>
    <n v="157880669"/>
    <m/>
    <n v="70000000"/>
  </r>
  <r>
    <n v="284"/>
    <s v="Who Framed Roger Rabbit?"/>
    <n v="40"/>
    <x v="4"/>
    <x v="40"/>
    <n v="10885"/>
    <s v="Bob Hoskins"/>
    <s v="No"/>
    <n v="151931137"/>
    <n v="197387508"/>
    <m/>
    <n v="70000000"/>
  </r>
  <r>
    <n v="285"/>
    <s v="Divergent"/>
    <n v="80"/>
    <x v="0"/>
    <x v="18"/>
    <n v="17935"/>
    <s v="Shailene Woodley"/>
    <s v="No"/>
    <n v="150947895"/>
    <n v="125067070"/>
    <m/>
    <n v="85000000"/>
  </r>
  <r>
    <n v="286"/>
    <s v="Rambo: First Blood Part II"/>
    <n v="10"/>
    <x v="6"/>
    <x v="32"/>
    <n v="18385"/>
    <s v="Sylvester Stallone"/>
    <s v="Yes"/>
    <n v="150415432"/>
    <n v="149984568"/>
    <m/>
    <n v="44000000"/>
  </r>
  <r>
    <n v="287"/>
    <s v="We're the Millers"/>
    <n v="10"/>
    <x v="6"/>
    <x v="9"/>
    <n v="19150"/>
    <s v="Will Poulter"/>
    <s v="No"/>
    <n v="150394119"/>
    <n v="117422157"/>
    <m/>
    <n v="37000000"/>
  </r>
  <r>
    <n v="288"/>
    <s v="Terminator 3: Rise of the Machines"/>
    <n v="80"/>
    <x v="0"/>
    <x v="16"/>
    <n v="10525"/>
    <s v="Arnold Schwarzenegger"/>
    <s v="Yes"/>
    <n v="150358296"/>
    <n v="282700000"/>
    <m/>
    <n v="170000000"/>
  </r>
  <r>
    <n v="289"/>
    <s v="G.I. Joe: The Rise of Cobra"/>
    <n v="10"/>
    <x v="6"/>
    <x v="0"/>
    <n v="11125"/>
    <s v="Byung-hun Lee"/>
    <s v="No"/>
    <n v="150201498"/>
    <n v="152267519"/>
    <m/>
    <n v="175000000"/>
  </r>
  <r>
    <n v="290"/>
    <s v="American Hustle"/>
    <n v="20"/>
    <x v="5"/>
    <x v="9"/>
    <n v="10945"/>
    <s v="Bradley Cooper"/>
    <s v="No"/>
    <n v="150117807"/>
    <n v="107760487"/>
    <m/>
    <n v="40000000"/>
  </r>
  <r>
    <n v="291"/>
    <s v="Neighbors"/>
    <n v="10"/>
    <x v="6"/>
    <x v="9"/>
    <n v="17920"/>
    <s v="Seth Rogen"/>
    <s v="No"/>
    <n v="150086800"/>
    <n v="120507734"/>
    <m/>
    <n v="18000000"/>
  </r>
  <r>
    <n v="292"/>
    <s v="Puss in Boots"/>
    <n v="60"/>
    <x v="3"/>
    <x v="13"/>
    <n v="10495"/>
    <s v="Antonio Banderas"/>
    <s v="No"/>
    <n v="149260504"/>
    <n v="405726973"/>
    <m/>
    <n v="130000000"/>
  </r>
  <r>
    <n v="293"/>
    <s v="Les Miserables"/>
    <n v="50"/>
    <x v="1"/>
    <x v="3"/>
    <n v="13270"/>
    <s v="Hugh Jackman"/>
    <s v="No"/>
    <n v="148809770"/>
    <n v="293359282"/>
    <m/>
    <n v="65000000"/>
  </r>
  <r>
    <n v="294"/>
    <s v="Knocked Up"/>
    <n v="10"/>
    <x v="6"/>
    <x v="19"/>
    <n v="15025"/>
    <s v="Kristen Wiig"/>
    <s v="No"/>
    <n v="148761765"/>
    <n v="70504187"/>
    <m/>
    <n v="27500000"/>
  </r>
  <r>
    <n v="295"/>
    <s v="Fatal Attraction"/>
    <n v="10"/>
    <x v="6"/>
    <x v="41"/>
    <n v="16195"/>
    <s v="Mike Nussbaum"/>
    <s v="No"/>
    <n v="148453989"/>
    <n v="163454307"/>
    <m/>
    <n v="14000000"/>
  </r>
  <r>
    <n v="296"/>
    <s v="Little Fockers"/>
    <n v="10"/>
    <x v="6"/>
    <x v="12"/>
    <n v="18505"/>
    <s v="Teri Polo"/>
    <s v="Yes"/>
    <n v="148438600"/>
    <n v="162211974"/>
    <m/>
    <n v="100000000"/>
  </r>
  <r>
    <n v="297"/>
    <s v="Megamind"/>
    <n v="60"/>
    <x v="3"/>
    <x v="12"/>
    <n v="19135"/>
    <s v="Will Ferrell"/>
    <s v="No"/>
    <n v="148415853"/>
    <n v="173471355"/>
    <m/>
    <n v="130000000"/>
  </r>
  <r>
    <n v="298"/>
    <s v="Hotel Transylvania"/>
    <n v="60"/>
    <x v="3"/>
    <x v="13"/>
    <n v="10015"/>
    <s v="Adam Sandler"/>
    <s v="No"/>
    <n v="148313048"/>
    <n v="197594315"/>
    <m/>
    <n v="85000000"/>
  </r>
  <r>
    <n v="299"/>
    <s v="Talladega Nights: The Ballad of Ricky Bobby"/>
    <n v="10"/>
    <x v="6"/>
    <x v="10"/>
    <n v="14290"/>
    <s v="John C. Reilly"/>
    <s v="No"/>
    <n v="148213377"/>
    <n v="14657148"/>
    <m/>
    <n v="73000000"/>
  </r>
  <r>
    <n v="300"/>
    <s v="Gremlins"/>
    <n v="40"/>
    <x v="4"/>
    <x v="29"/>
    <n v="12205"/>
    <s v="Dick Miller"/>
    <s v="No"/>
    <n v="148117285"/>
    <n v="0"/>
    <m/>
    <n v="11000000"/>
  </r>
  <r>
    <n v="301"/>
    <s v="Gran Torino"/>
    <n v="10"/>
    <x v="6"/>
    <x v="4"/>
    <n v="11605"/>
    <s v="Clint Eastwood"/>
    <s v="No"/>
    <n v="148095302"/>
    <n v="126447783"/>
    <m/>
    <n v="25000000"/>
  </r>
  <r>
    <n v="302"/>
    <s v="As Good as it Gets"/>
    <n v="10"/>
    <x v="6"/>
    <x v="1"/>
    <n v="15835"/>
    <s v="Maya Rudolph"/>
    <s v="No"/>
    <n v="147637474"/>
    <n v="165633912"/>
    <m/>
    <n v="50000000"/>
  </r>
  <r>
    <n v="303"/>
    <s v="X-Men: First Class"/>
    <n v="90"/>
    <x v="2"/>
    <x v="13"/>
    <n v="13675"/>
    <s v="James McAvoy"/>
    <s v="Yes"/>
    <n v="146408305"/>
    <n v="284000000"/>
    <m/>
    <n v="165000000"/>
  </r>
  <r>
    <n v="304"/>
    <s v="Paul Blart: Mall Cop"/>
    <n v="10"/>
    <x v="6"/>
    <x v="0"/>
    <n v="14905"/>
    <s v="Kevin James"/>
    <s v="No"/>
    <n v="146336178"/>
    <n v="39568572"/>
    <m/>
    <n v="26000000"/>
  </r>
  <r>
    <n v="305"/>
    <s v="True Lies"/>
    <n v="10"/>
    <x v="6"/>
    <x v="11"/>
    <n v="10840"/>
    <s v="Bill Paxton"/>
    <s v="No"/>
    <n v="146273950"/>
    <n v="219017589"/>
    <m/>
    <n v="100000000"/>
  </r>
  <r>
    <n v="306"/>
    <s v="Lilo &amp; Stitch"/>
    <n v="60"/>
    <x v="3"/>
    <x v="14"/>
    <n v="11935"/>
    <s v="Daveigh Chase"/>
    <s v="No"/>
    <n v="145771527"/>
    <n v="100028473"/>
    <m/>
    <n v="80000000"/>
  </r>
  <r>
    <n v="307"/>
    <s v="American Pie 2"/>
    <n v="10"/>
    <x v="6"/>
    <x v="20"/>
    <n v="18430"/>
    <s v="Tara Reid"/>
    <s v="Yes"/>
    <n v="145096820"/>
    <n v="141403180"/>
    <m/>
    <n v="30000000"/>
  </r>
  <r>
    <n v="308"/>
    <s v="Taken"/>
    <n v="10"/>
    <x v="6"/>
    <x v="0"/>
    <n v="15265"/>
    <s v="Liam Neeson"/>
    <s v="No"/>
    <n v="145000989"/>
    <n v="81940596"/>
    <m/>
    <n v="25000000"/>
  </r>
  <r>
    <n v="309"/>
    <s v="The Great Gatsby"/>
    <n v="50"/>
    <x v="1"/>
    <x v="3"/>
    <n v="15205"/>
    <s v="Leonardo DiCaprio"/>
    <s v="No"/>
    <n v="144840419"/>
    <n v="206200000"/>
    <m/>
    <n v="190000000"/>
  </r>
  <r>
    <n v="310"/>
    <s v="I, Robot"/>
    <n v="80"/>
    <x v="0"/>
    <x v="7"/>
    <n v="10120"/>
    <s v="Alan Tudyk"/>
    <s v="No"/>
    <n v="144795350"/>
    <n v="203828562"/>
    <m/>
    <n v="105000000"/>
  </r>
  <r>
    <n v="311"/>
    <s v="The Santa Clause"/>
    <n v="60"/>
    <x v="3"/>
    <x v="11"/>
    <n v="18580"/>
    <s v="Tim Allen"/>
    <s v="No"/>
    <n v="144700007"/>
    <n v="44966643"/>
    <m/>
    <n v="22000000"/>
  </r>
  <r>
    <n v="312"/>
    <s v="The Fast and the Furious"/>
    <n v="10"/>
    <x v="6"/>
    <x v="20"/>
    <n v="12640"/>
    <s v="F. Valentino Morales"/>
    <s v="No"/>
    <n v="144512310"/>
    <n v="62000000"/>
    <m/>
    <n v="38000000"/>
  </r>
  <r>
    <n v="313"/>
    <s v="Doctor Dolittle"/>
    <n v="60"/>
    <x v="3"/>
    <x v="31"/>
    <n v="10720"/>
    <s v="Beth Grant"/>
    <s v="No"/>
    <n v="144156464"/>
    <n v="150000000"/>
    <m/>
    <n v="71500000"/>
  </r>
  <r>
    <n v="314"/>
    <s v="Mamma Mia!"/>
    <n v="10"/>
    <x v="6"/>
    <x v="4"/>
    <n v="15910"/>
    <s v="Meryl Streep"/>
    <s v="No"/>
    <n v="143762955"/>
    <n v="458370497"/>
    <m/>
    <n v="52000000"/>
  </r>
  <r>
    <n v="315"/>
    <s v="Rio"/>
    <n v="60"/>
    <x v="3"/>
    <x v="13"/>
    <n v="10435"/>
    <s v="Anne Hathaway"/>
    <s v="No"/>
    <n v="143619809"/>
    <n v="343900000"/>
    <m/>
    <n v="90000000"/>
  </r>
  <r>
    <n v="316"/>
    <s v="Juno"/>
    <n v="10"/>
    <x v="6"/>
    <x v="19"/>
    <n v="13390"/>
    <s v="J.K. Simmons"/>
    <s v="No"/>
    <n v="143495265"/>
    <n v="87954837"/>
    <m/>
    <n v="7000000"/>
  </r>
  <r>
    <n v="317"/>
    <s v="Marley &amp; Me"/>
    <n v="20"/>
    <x v="5"/>
    <x v="4"/>
    <n v="16630"/>
    <s v="Owen Wilson"/>
    <s v="No"/>
    <n v="143153751"/>
    <n v="104658260"/>
    <m/>
    <n v="60000000"/>
  </r>
  <r>
    <n v="318"/>
    <s v="The Smurfs"/>
    <n v="60"/>
    <x v="3"/>
    <x v="13"/>
    <n v="10105"/>
    <s v="Alan Cumming"/>
    <s v="No"/>
    <n v="142614158"/>
    <n v="421135165"/>
    <m/>
    <n v="110000000"/>
  </r>
  <r>
    <n v="319"/>
    <s v="Lethal Weapon 2"/>
    <n v="10"/>
    <x v="6"/>
    <x v="27"/>
    <n v="15865"/>
    <s v="Mel Gibson"/>
    <s v="Yes"/>
    <n v="141872763"/>
    <n v="80046014"/>
    <m/>
    <n v="0"/>
  </r>
  <r>
    <n v="320"/>
    <s v="The Jungle Book"/>
    <n v="60"/>
    <x v="3"/>
    <x v="44"/>
    <n v="12970"/>
    <s v="George Sanders"/>
    <s v="No"/>
    <n v="141843000"/>
    <n v="0"/>
    <m/>
    <n v="0"/>
  </r>
  <r>
    <n v="321"/>
    <s v="xXx"/>
    <n v="10"/>
    <x v="6"/>
    <x v="14"/>
    <n v="19060"/>
    <s v="Vin Diesel"/>
    <s v="No"/>
    <n v="141715000"/>
    <n v="125270000"/>
    <m/>
    <n v="70000000"/>
  </r>
  <r>
    <n v="322"/>
    <s v="The Chronicles of Narnia: Prince Caspian"/>
    <n v="40"/>
    <x v="4"/>
    <x v="4"/>
    <n v="16810"/>
    <s v="Pedja Bjelac"/>
    <s v="Yes"/>
    <n v="141621490"/>
    <n v="275719798"/>
    <m/>
    <n v="225000000"/>
  </r>
  <r>
    <n v="323"/>
    <s v="National Lampoon's Animal House"/>
    <n v="10"/>
    <x v="6"/>
    <x v="38"/>
    <n v="14845"/>
    <s v="Kevin Bacon"/>
    <s v="No"/>
    <n v="141600000"/>
    <n v="0"/>
    <m/>
    <n v="3000000"/>
  </r>
  <r>
    <n v="324"/>
    <s v="Pocahontas"/>
    <n v="50"/>
    <x v="1"/>
    <x v="36"/>
    <n v="15865"/>
    <s v="Mel Gibson"/>
    <s v="No"/>
    <n v="141567679"/>
    <n v="205520227"/>
    <m/>
    <n v="55000000"/>
  </r>
  <r>
    <n v="325"/>
    <s v="Slumdog Millionaire"/>
    <n v="10"/>
    <x v="6"/>
    <x v="4"/>
    <n v="13315"/>
    <s v="Irfan Khan"/>
    <s v="No"/>
    <n v="141319928"/>
    <n v="243199737"/>
    <m/>
    <n v="14000000"/>
  </r>
  <r>
    <n v="326"/>
    <s v="Rush Hour"/>
    <n v="10"/>
    <x v="6"/>
    <x v="31"/>
    <n v="13495"/>
    <s v="Jackie Chan"/>
    <s v="No"/>
    <n v="141153686"/>
    <n v="104113136"/>
    <m/>
    <n v="35000000"/>
  </r>
  <r>
    <n v="327"/>
    <s v="The Blair Witch Project"/>
    <n v="10"/>
    <x v="6"/>
    <x v="5"/>
    <n v="16645"/>
    <s v="Patricia Decou"/>
    <s v="No"/>
    <n v="140539099"/>
    <n v="107760901"/>
    <m/>
    <n v="60000"/>
  </r>
  <r>
    <n v="328"/>
    <s v="A Few Good Men"/>
    <n v="10"/>
    <x v="6"/>
    <x v="33"/>
    <n v="13660"/>
    <s v="James Marshall"/>
    <s v="No"/>
    <n v="140525790"/>
    <n v="95159822"/>
    <m/>
    <n v="33000000"/>
  </r>
  <r>
    <n v="329"/>
    <s v="Deep Impact"/>
    <n v="80"/>
    <x v="0"/>
    <x v="31"/>
    <n v="12715"/>
    <s v="Francis X. McCarthy"/>
    <s v="No"/>
    <n v="140300426"/>
    <n v="209000000"/>
    <m/>
    <n v="80000000"/>
  </r>
  <r>
    <n v="330"/>
    <s v="The Rocky Horror Picture Show"/>
    <n v="40"/>
    <x v="4"/>
    <x v="26"/>
    <n v="18355"/>
    <s v="Susan Sarandon"/>
    <s v="No"/>
    <n v="140241017"/>
    <n v="0"/>
    <m/>
    <n v="1200000"/>
  </r>
  <r>
    <n v="331"/>
    <s v="Rush Hour 3"/>
    <n v="10"/>
    <x v="6"/>
    <x v="19"/>
    <n v="13495"/>
    <s v="Jackie Chan"/>
    <s v="Yes"/>
    <n v="140125968"/>
    <n v="116459914"/>
    <m/>
    <n v="180000000"/>
  </r>
  <r>
    <n v="332"/>
    <s v="Stuart Little"/>
    <n v="60"/>
    <x v="3"/>
    <x v="5"/>
    <n v="16060"/>
    <s v="Michael J. Fox"/>
    <s v="No"/>
    <n v="140015224"/>
    <n v="158800000"/>
    <m/>
    <n v="105000000"/>
  </r>
  <r>
    <n v="333"/>
    <s v="Taken 2"/>
    <n v="10"/>
    <x v="6"/>
    <x v="13"/>
    <n v="15265"/>
    <s v="Liam Neeson"/>
    <s v="Yes"/>
    <n v="139854287"/>
    <n v="237953117"/>
    <m/>
    <n v="45000000"/>
  </r>
  <r>
    <n v="334"/>
    <s v="Lethal Weapon 3"/>
    <n v="10"/>
    <x v="6"/>
    <x v="33"/>
    <n v="15865"/>
    <s v="Mel Gibson"/>
    <s v="Yes"/>
    <n v="139799547"/>
    <n v="174968473"/>
    <m/>
    <n v="35000000"/>
  </r>
  <r>
    <n v="335"/>
    <s v="Saturday Night Fever"/>
    <n v="10"/>
    <x v="6"/>
    <x v="6"/>
    <n v="14320"/>
    <s v="John Travolta"/>
    <s v="No"/>
    <n v="139486124"/>
    <n v="142913876"/>
    <m/>
    <n v="0"/>
  </r>
  <r>
    <n v="336"/>
    <s v="The Matrix Revolutions"/>
    <n v="80"/>
    <x v="0"/>
    <x v="16"/>
    <n v="14755"/>
    <s v="Keanu Reeves"/>
    <s v="Yes"/>
    <n v="139259759"/>
    <n v="288029350"/>
    <m/>
    <n v="150000000"/>
  </r>
  <r>
    <n v="337"/>
    <s v="The Santa Clause 2"/>
    <n v="60"/>
    <x v="3"/>
    <x v="14"/>
    <n v="18580"/>
    <s v="Tim Allen"/>
    <s v="Yes"/>
    <n v="139225854"/>
    <n v="33600000"/>
    <m/>
    <n v="65000000"/>
  </r>
  <r>
    <n v="338"/>
    <s v="The King’s Speech"/>
    <n v="20"/>
    <x v="5"/>
    <x v="12"/>
    <n v="11635"/>
    <s v="Colin Firth"/>
    <s v="No"/>
    <n v="138797449"/>
    <n v="292023719"/>
    <s v="Y"/>
    <n v="15000000"/>
  </r>
  <r>
    <n v="339"/>
    <s v="Cheaper by the Dozen"/>
    <n v="10"/>
    <x v="6"/>
    <x v="16"/>
    <n v="18010"/>
    <s v="Shawn Levy"/>
    <s v="No"/>
    <n v="138614544"/>
    <n v="51100000"/>
    <m/>
    <n v="40000000"/>
  </r>
  <r>
    <n v="340"/>
    <s v="Bad Boys II"/>
    <n v="10"/>
    <x v="6"/>
    <x v="16"/>
    <n v="16105"/>
    <s v="Michael Shannon"/>
    <s v="Yes"/>
    <n v="138540870"/>
    <n v="134400000"/>
    <m/>
    <n v="130000000"/>
  </r>
  <r>
    <n v="341"/>
    <s v="21 Jump Street"/>
    <n v="10"/>
    <x v="6"/>
    <x v="13"/>
    <n v="14395"/>
    <s v="Jonah Hill"/>
    <s v="No"/>
    <n v="138447667"/>
    <n v="64364762"/>
    <m/>
    <n v="42000000"/>
  </r>
  <r>
    <n v="342"/>
    <s v="Good Will Hunting"/>
    <n v="10"/>
    <x v="6"/>
    <x v="1"/>
    <n v="15685"/>
    <s v="Matt Damon"/>
    <s v="No"/>
    <n v="138339411"/>
    <n v="87500000"/>
    <m/>
    <n v="10000000"/>
  </r>
  <r>
    <n v="343"/>
    <s v="Disney's A Christmas Carol"/>
    <n v="40"/>
    <x v="4"/>
    <x v="0"/>
    <n v="18100"/>
    <s v="Sonje Fortag"/>
    <s v="No"/>
    <n v="137855863"/>
    <n v="177853834"/>
    <m/>
    <n v="190000000"/>
  </r>
  <r>
    <n v="344"/>
    <s v="Dinosaur"/>
    <n v="60"/>
    <x v="3"/>
    <x v="25"/>
    <n v="13180"/>
    <s v="Hayden Panettiere"/>
    <s v="No"/>
    <n v="137748063"/>
    <n v="218400000"/>
    <m/>
    <n v="127500000"/>
  </r>
  <r>
    <n v="345"/>
    <s v="The Conjuring"/>
    <n v="40"/>
    <x v="4"/>
    <x v="9"/>
    <n v="19030"/>
    <s v="Vera Farmiga"/>
    <s v="No"/>
    <n v="137400141"/>
    <n v="180600000"/>
    <m/>
    <n v="20000000"/>
  </r>
  <r>
    <n v="346"/>
    <s v="Click"/>
    <n v="40"/>
    <x v="4"/>
    <x v="10"/>
    <n v="15490"/>
    <s v="Marco Khan"/>
    <s v="No"/>
    <n v="137340146"/>
    <n v="100329456"/>
    <m/>
    <n v="82500000"/>
  </r>
  <r>
    <n v="347"/>
    <s v="The Green Mile"/>
    <n v="40"/>
    <x v="4"/>
    <x v="5"/>
    <n v="10810"/>
    <s v="Bill McKinney"/>
    <s v="No"/>
    <n v="136801374"/>
    <n v="153900000"/>
    <m/>
    <n v="60000000"/>
  </r>
  <r>
    <n v="348"/>
    <s v="Ransom"/>
    <n v="10"/>
    <x v="6"/>
    <x v="22"/>
    <n v="15280"/>
    <s v="Liev Schreiber"/>
    <s v="No"/>
    <n v="136448821"/>
    <n v="172207319"/>
    <m/>
    <n v="70000000"/>
  </r>
  <r>
    <n v="349"/>
    <s v="101 Dalmatians"/>
    <n v="60"/>
    <x v="3"/>
    <x v="22"/>
    <n v="12745"/>
    <s v="Frank Welker"/>
    <s v="No"/>
    <n v="136182161"/>
    <n v="0"/>
    <m/>
    <n v="0"/>
  </r>
  <r>
    <n v="350"/>
    <s v="Godzilla"/>
    <n v="80"/>
    <x v="0"/>
    <x v="31"/>
    <n v="15745"/>
    <s v="Matthew Broderick"/>
    <s v="No"/>
    <n v="136142003"/>
    <n v="239685706"/>
    <m/>
    <n v="125000000"/>
  </r>
  <r>
    <n v="351"/>
    <s v="Argo"/>
    <n v="50"/>
    <x v="1"/>
    <x v="3"/>
    <n v="10630"/>
    <s v="Ben Affleck"/>
    <s v="No"/>
    <n v="136025503"/>
    <n v="91115254"/>
    <s v="Y"/>
    <n v="44500000"/>
  </r>
  <r>
    <n v="352"/>
    <s v="Anger Management"/>
    <n v="10"/>
    <x v="6"/>
    <x v="16"/>
    <n v="17590"/>
    <s v="Rudy Giuliani"/>
    <s v="No"/>
    <n v="135560942"/>
    <n v="60100000"/>
    <m/>
    <n v="56000000"/>
  </r>
  <r>
    <n v="353"/>
    <s v="Chicken Little"/>
    <n v="60"/>
    <x v="3"/>
    <x v="17"/>
    <n v="10225"/>
    <s v="Amy Sedaris"/>
    <s v="No"/>
    <n v="135386665"/>
    <n v="174657158"/>
    <m/>
    <n v="60000000"/>
  </r>
  <r>
    <n v="354"/>
    <s v="Patch Adams"/>
    <n v="10"/>
    <x v="6"/>
    <x v="31"/>
    <n v="17425"/>
    <s v="Robin Williams"/>
    <s v="No"/>
    <n v="135014968"/>
    <n v="67158032"/>
    <m/>
    <n v="50000000"/>
  </r>
  <r>
    <n v="355"/>
    <s v="Look Who's Talking"/>
    <n v="10"/>
    <x v="6"/>
    <x v="40"/>
    <n v="14965"/>
    <s v="Kirstie Alley"/>
    <s v="No"/>
    <n v="134837533"/>
    <n v="157011187"/>
    <m/>
    <n v="0"/>
  </r>
  <r>
    <n v="356"/>
    <s v="The Godfather"/>
    <n v="50"/>
    <x v="1"/>
    <x v="45"/>
    <n v="15580"/>
    <s v="Marlon Brando"/>
    <s v="No"/>
    <n v="134821952"/>
    <n v="133533589"/>
    <s v="Y"/>
    <n v="7000000"/>
  </r>
  <r>
    <n v="357"/>
    <s v="Spectre"/>
    <n v="10"/>
    <x v="6"/>
    <x v="2"/>
    <n v="11830"/>
    <s v="Daniel Craig"/>
    <s v="No"/>
    <n v="134659531"/>
    <n v="223100000"/>
    <m/>
    <n v="300000000"/>
  </r>
  <r>
    <n v="358"/>
    <s v="The Incredible Hulk"/>
    <n v="90"/>
    <x v="2"/>
    <x v="4"/>
    <n v="18160"/>
    <s v="Stan Lee"/>
    <s v="No"/>
    <n v="134533885"/>
    <n v="128611000"/>
    <m/>
    <n v="137500000"/>
  </r>
  <r>
    <n v="359"/>
    <s v="Live Free or Die Hard"/>
    <n v="10"/>
    <x v="6"/>
    <x v="19"/>
    <n v="11095"/>
    <s v="Bruce Willis"/>
    <s v="Yes"/>
    <n v="134529403"/>
    <n v="247758744"/>
    <m/>
    <n v="110000000"/>
  </r>
  <r>
    <n v="360"/>
    <s v="Identity Thief"/>
    <n v="10"/>
    <x v="6"/>
    <x v="9"/>
    <n v="16330"/>
    <s v="Morris Chestnut"/>
    <s v="No"/>
    <n v="134506920"/>
    <n v="40854658"/>
    <m/>
    <n v="35000000"/>
  </r>
  <r>
    <n v="361"/>
    <s v="Wanted"/>
    <n v="80"/>
    <x v="0"/>
    <x v="4"/>
    <n v="13675"/>
    <s v="James McAvoy"/>
    <s v="No"/>
    <n v="134327125"/>
    <n v="207907909"/>
    <m/>
    <n v="75000000"/>
  </r>
  <r>
    <n v="362"/>
    <s v="Superman"/>
    <n v="90"/>
    <x v="2"/>
    <x v="38"/>
    <n v="18490"/>
    <s v="Terence Stamp"/>
    <s v="No"/>
    <n v="134218018"/>
    <n v="165981982"/>
    <m/>
    <n v="55000000"/>
  </r>
  <r>
    <n v="363"/>
    <s v="Ride Along"/>
    <n v="10"/>
    <x v="6"/>
    <x v="13"/>
    <n v="13300"/>
    <s v="Ice Cube"/>
    <s v="No"/>
    <n v="134202565"/>
    <n v="19530700"/>
    <m/>
    <n v="25000000"/>
  </r>
  <r>
    <n v="364"/>
    <s v="The Rock"/>
    <n v="10"/>
    <x v="6"/>
    <x v="22"/>
    <n v="16465"/>
    <s v="Nicolas Cage"/>
    <s v="No"/>
    <n v="133955936"/>
    <n v="202000000"/>
    <m/>
    <n v="75000000"/>
  </r>
  <r>
    <n v="365"/>
    <s v="Grown Ups 2"/>
    <n v="10"/>
    <x v="6"/>
    <x v="3"/>
    <n v="10015"/>
    <s v="Adam Sandler"/>
    <s v="Yes"/>
    <n v="133668525"/>
    <n v="113355283"/>
    <m/>
    <n v="80000000"/>
  </r>
  <r>
    <n v="366"/>
    <s v="Mission: Impossible III"/>
    <n v="10"/>
    <x v="6"/>
    <x v="10"/>
    <n v="18745"/>
    <s v="Tom Cruise"/>
    <s v="Yes"/>
    <n v="133501348"/>
    <n v="264000000"/>
    <m/>
    <n v="150000000"/>
  </r>
  <r>
    <n v="367"/>
    <s v="Angels &amp; Demons"/>
    <n v="10"/>
    <x v="6"/>
    <x v="0"/>
    <n v="10510"/>
    <s v="Armin Mueller-Stahl"/>
    <s v="Yes"/>
    <n v="133375846"/>
    <n v="357500000"/>
    <m/>
    <n v="150000000"/>
  </r>
  <r>
    <n v="368"/>
    <s v="Troy"/>
    <n v="50"/>
    <x v="1"/>
    <x v="7"/>
    <n v="10930"/>
    <s v="Brad Pitt"/>
    <s v="No"/>
    <n v="133298577"/>
    <n v="350862688"/>
    <m/>
    <n v="150000000"/>
  </r>
  <r>
    <n v="369"/>
    <s v="Alvin and the Chipmunks: Chipwrecked"/>
    <n v="60"/>
    <x v="3"/>
    <x v="13"/>
    <n v="13825"/>
    <s v="Jason Lee"/>
    <s v="Yes"/>
    <n v="133107389"/>
    <n v="215981134"/>
    <m/>
    <n v="80000000"/>
  </r>
  <r>
    <n v="370"/>
    <s v="Platoon"/>
    <n v="50"/>
    <x v="1"/>
    <x v="39"/>
    <n v="18715"/>
    <s v="Tom Berenger"/>
    <s v="No"/>
    <n v="132761962"/>
    <n v="0"/>
    <s v="Y"/>
    <n v="6000000"/>
  </r>
  <r>
    <n v="371"/>
    <s v="Bringing Down the House"/>
    <n v="10"/>
    <x v="6"/>
    <x v="16"/>
    <n v="18235"/>
    <s v="Steve Harris"/>
    <s v="No"/>
    <n v="132675402"/>
    <n v="32000000"/>
    <m/>
    <n v="20000000"/>
  </r>
  <r>
    <n v="372"/>
    <s v="The Wolverine"/>
    <n v="90"/>
    <x v="2"/>
    <x v="9"/>
    <n v="13270"/>
    <s v="Hugh Jackman"/>
    <s v="Yes"/>
    <n v="132556852"/>
    <n v="283900000"/>
    <m/>
    <n v="115000000"/>
  </r>
  <r>
    <n v="373"/>
    <s v="The Departed"/>
    <n v="10"/>
    <x v="6"/>
    <x v="10"/>
    <n v="12010"/>
    <s v="David Patrick O'Hara"/>
    <s v="No"/>
    <n v="132384315"/>
    <n v="157276304"/>
    <s v="Y"/>
    <n v="90000000"/>
  </r>
  <r>
    <n v="374"/>
    <s v="Sister Act"/>
    <n v="10"/>
    <x v="6"/>
    <x v="33"/>
    <n v="16450"/>
    <s v="Nicky Katt"/>
    <s v="No"/>
    <n v="132303799"/>
    <n v="91994850"/>
    <m/>
    <n v="0"/>
  </r>
  <r>
    <n v="375"/>
    <s v="Hulk"/>
    <n v="90"/>
    <x v="2"/>
    <x v="16"/>
    <n v="16090"/>
    <s v="Michael Papajohn"/>
    <s v="No"/>
    <n v="132177234"/>
    <n v="113052000"/>
    <m/>
    <n v="137000000"/>
  </r>
  <r>
    <n v="376"/>
    <s v="Silver Linings Playbook"/>
    <n v="10"/>
    <x v="6"/>
    <x v="3"/>
    <n v="10945"/>
    <s v="Bradley Cooper"/>
    <s v="No"/>
    <n v="132092958"/>
    <n v="104319495"/>
    <m/>
    <n v="21000000"/>
  </r>
  <r>
    <n v="377"/>
    <s v="Minority Report"/>
    <n v="80"/>
    <x v="0"/>
    <x v="14"/>
    <n v="18745"/>
    <s v="Tom Cruise"/>
    <s v="No"/>
    <n v="132024714"/>
    <n v="226800000"/>
    <m/>
    <n v="102000000"/>
  </r>
  <r>
    <n v="378"/>
    <s v="Fantastic Four: Rise of the Silver Surfer"/>
    <n v="90"/>
    <x v="2"/>
    <x v="19"/>
    <n v="18160"/>
    <s v="Stan Lee"/>
    <s v="Yes"/>
    <n v="131921738"/>
    <n v="156293581"/>
    <m/>
    <n v="120000000"/>
  </r>
  <r>
    <n v="379"/>
    <s v="The Last Airbender"/>
    <n v="40"/>
    <x v="4"/>
    <x v="12"/>
    <n v="11590"/>
    <s v="Cliff Curtis"/>
    <s v="No"/>
    <n v="131601062"/>
    <n v="187941694"/>
    <m/>
    <n v="150000000"/>
  </r>
  <r>
    <n v="380"/>
    <s v="Rio 2"/>
    <n v="60"/>
    <x v="3"/>
    <x v="18"/>
    <n v="14095"/>
    <s v="Jesse Eisenberg"/>
    <s v="Yes"/>
    <n v="131538435"/>
    <n v="362200000"/>
    <m/>
    <n v="130000000"/>
  </r>
  <r>
    <n v="381"/>
    <s v="Lara Croft: Tomb Raider"/>
    <n v="10"/>
    <x v="6"/>
    <x v="20"/>
    <n v="14380"/>
    <s v="Jon Voight"/>
    <s v="No"/>
    <n v="131144183"/>
    <n v="142186002"/>
    <m/>
    <n v="94000000"/>
  </r>
  <r>
    <n v="382"/>
    <s v="Get Smart"/>
    <n v="10"/>
    <x v="6"/>
    <x v="4"/>
    <n v="18205"/>
    <s v="Steve Carell"/>
    <s v="No"/>
    <n v="130319208"/>
    <n v="173381071"/>
    <m/>
    <n v="150000000"/>
  </r>
  <r>
    <n v="383"/>
    <s v="Insurgent"/>
    <n v="80"/>
    <x v="0"/>
    <x v="2"/>
    <n v="18520"/>
    <s v="Theo James"/>
    <s v="Yes"/>
    <n v="130179072"/>
    <n v="165100000"/>
    <m/>
    <n v="110000000"/>
  </r>
  <r>
    <n v="384"/>
    <s v="American Gangster"/>
    <n v="20"/>
    <x v="5"/>
    <x v="19"/>
    <n v="14860"/>
    <s v="Kevin Corrigan"/>
    <s v="No"/>
    <n v="130164645"/>
    <n v="137820811"/>
    <m/>
    <n v="100000000"/>
  </r>
  <r>
    <n v="385"/>
    <s v="American Beauty"/>
    <n v="10"/>
    <x v="6"/>
    <x v="5"/>
    <n v="18310"/>
    <s v="Sue Casey"/>
    <s v="No"/>
    <n v="130058047"/>
    <n v="226200000"/>
    <s v="Y"/>
    <n v="15000000"/>
  </r>
  <r>
    <n v="386"/>
    <s v="Honey, I Shrunk the Kids"/>
    <n v="80"/>
    <x v="0"/>
    <x v="27"/>
    <n v="15715"/>
    <s v="Matt Frewer"/>
    <s v="No"/>
    <n v="129906514"/>
    <n v="91975828"/>
    <m/>
    <n v="0"/>
  </r>
  <r>
    <n v="387"/>
    <s v="Lethal Weapon 4"/>
    <n v="10"/>
    <x v="6"/>
    <x v="31"/>
    <n v="15865"/>
    <s v="Mel Gibson"/>
    <s v="Yes"/>
    <n v="129734803"/>
    <n v="154955397"/>
    <m/>
    <n v="140000000"/>
  </r>
  <r>
    <n v="388"/>
    <s v="The Ring"/>
    <n v="10"/>
    <x v="6"/>
    <x v="14"/>
    <n v="16375"/>
    <s v="Naomi Watts"/>
    <s v="No"/>
    <n v="129094024"/>
    <n v="119124462"/>
    <m/>
    <n v="48000000"/>
  </r>
  <r>
    <n v="389"/>
    <s v="The Nutty Professor"/>
    <n v="60"/>
    <x v="3"/>
    <x v="22"/>
    <n v="13510"/>
    <s v="Jada Pinkett Smith"/>
    <s v="No"/>
    <n v="128769345"/>
    <n v="145000000"/>
    <m/>
    <n v="55000000"/>
  </r>
  <r>
    <n v="390"/>
    <s v="Borat"/>
    <n v="10"/>
    <x v="6"/>
    <x v="10"/>
    <n v="14815"/>
    <s v="Ken Davitian"/>
    <s v="No"/>
    <n v="128505958"/>
    <n v="132937284"/>
    <m/>
    <n v="18000000"/>
  </r>
  <r>
    <n v="391"/>
    <s v="Kingsman: The Secret Service"/>
    <n v="10"/>
    <x v="6"/>
    <x v="18"/>
    <n v="11635"/>
    <s v="Colin Firth"/>
    <s v="No"/>
    <n v="128261724"/>
    <n v="276300000"/>
    <m/>
    <n v="0"/>
  </r>
  <r>
    <n v="392"/>
    <s v="Robots"/>
    <n v="60"/>
    <x v="3"/>
    <x v="17"/>
    <n v="12610"/>
    <s v="Ewan McGregor"/>
    <s v="No"/>
    <n v="128200012"/>
    <n v="132500000"/>
    <m/>
    <n v="80000000"/>
  </r>
  <r>
    <n v="393"/>
    <s v="Crouching Tiger, Hidden Dragon"/>
    <n v="40"/>
    <x v="4"/>
    <x v="25"/>
    <n v="15250"/>
    <s v="Li Li"/>
    <s v="No"/>
    <n v="128067808"/>
    <n v="85132192"/>
    <m/>
    <n v="15000000"/>
  </r>
  <r>
    <n v="394"/>
    <s v="Shutter Island"/>
    <n v="50"/>
    <x v="1"/>
    <x v="0"/>
    <n v="15205"/>
    <s v="Leonardo DiCaprio"/>
    <s v="No"/>
    <n v="128012934"/>
    <n v="171448848"/>
    <m/>
    <n v="80000000"/>
  </r>
  <r>
    <n v="395"/>
    <s v="Into the Woods"/>
    <n v="40"/>
    <x v="4"/>
    <x v="18"/>
    <n v="14350"/>
    <s v="Johnny Depp"/>
    <s v="No"/>
    <n v="128002372"/>
    <n v="75500000"/>
    <m/>
    <n v="50000000"/>
  </r>
  <r>
    <n v="396"/>
    <s v="Enchanted"/>
    <n v="40"/>
    <x v="4"/>
    <x v="19"/>
    <n v="17125"/>
    <s v="Richard Covey"/>
    <s v="No"/>
    <n v="127706877"/>
    <n v="212677264"/>
    <m/>
    <n v="85000000"/>
  </r>
  <r>
    <n v="397"/>
    <s v="The Curious Case of Benjamin Button"/>
    <n v="40"/>
    <x v="4"/>
    <x v="4"/>
    <n v="15415"/>
    <s v="Madisen Beaty"/>
    <s v="No"/>
    <n v="127509326"/>
    <n v="202300000"/>
    <m/>
    <n v="160000000"/>
  </r>
  <r>
    <n v="398"/>
    <s v="Anchorman 2: The Legend Continues"/>
    <n v="50"/>
    <x v="1"/>
    <x v="13"/>
    <n v="11470"/>
    <s v="Christina Applegate"/>
    <s v="Yes"/>
    <n v="127352707"/>
    <n v="44833047"/>
    <m/>
    <n v="50000000"/>
  </r>
  <r>
    <n v="399"/>
    <s v="An Officer and a Gentleman"/>
    <n v="10"/>
    <x v="6"/>
    <x v="8"/>
    <n v="17155"/>
    <s v="Richard Gere"/>
    <s v="No"/>
    <n v="127311887"/>
    <n v="67040820"/>
    <m/>
    <n v="46000000"/>
  </r>
  <r>
    <n v="400"/>
    <s v="Sweet Home Alabama"/>
    <n v="10"/>
    <x v="6"/>
    <x v="14"/>
    <n v="17110"/>
    <s v="Reese Witherspoon"/>
    <s v="No"/>
    <n v="127214072"/>
    <n v="55151042"/>
    <m/>
    <n v="38000000"/>
  </r>
  <r>
    <n v="401"/>
    <s v="Dumb &amp; Dumber"/>
    <n v="10"/>
    <x v="6"/>
    <x v="11"/>
    <n v="13105"/>
    <s v="Hank Brandt"/>
    <s v="No"/>
    <n v="127140750"/>
    <n v="119224626"/>
    <m/>
    <n v="16000000"/>
  </r>
  <r>
    <n v="402"/>
    <s v="2 Fast 2 Furious"/>
    <n v="10"/>
    <x v="6"/>
    <x v="16"/>
    <n v="17380"/>
    <s v="Roberto Sanz"/>
    <s v="Yes"/>
    <n v="127120058"/>
    <n v="109290549"/>
    <m/>
    <n v="76000000"/>
  </r>
  <r>
    <n v="403"/>
    <s v="Super 8"/>
    <n v="80"/>
    <x v="0"/>
    <x v="12"/>
    <n v="15040"/>
    <s v="Kyle Chandler"/>
    <s v="No"/>
    <n v="127004179"/>
    <n v="130968566"/>
    <m/>
    <n v="50000000"/>
  </r>
  <r>
    <n v="404"/>
    <s v="The World is Not Enough"/>
    <n v="10"/>
    <x v="6"/>
    <x v="5"/>
    <n v="16975"/>
    <s v="Pierce Brosnan"/>
    <s v="Yes"/>
    <n v="126930660"/>
    <n v="234800000"/>
    <m/>
    <n v="135000000"/>
  </r>
  <r>
    <n v="405"/>
    <s v="My Best Friend's Wedding"/>
    <n v="10"/>
    <x v="6"/>
    <x v="1"/>
    <n v="14530"/>
    <s v="Julia Roberts"/>
    <s v="No"/>
    <n v="126805112"/>
    <n v="172110266"/>
    <m/>
    <n v="46000000"/>
  </r>
  <r>
    <n v="406"/>
    <s v="Smokey and the Bandit"/>
    <n v="10"/>
    <x v="6"/>
    <x v="6"/>
    <n v="17680"/>
    <s v="Sally Field"/>
    <s v="No"/>
    <n v="126737428"/>
    <n v="243199737"/>
    <m/>
    <n v="14000000"/>
  </r>
  <r>
    <n v="407"/>
    <s v="Bee Movie"/>
    <n v="60"/>
    <x v="3"/>
    <x v="19"/>
    <n v="18940"/>
    <s v="Tress MacNeille"/>
    <s v="No"/>
    <n v="126631277"/>
    <n v="160963300"/>
    <m/>
    <n v="150000000"/>
  </r>
  <r>
    <n v="408"/>
    <s v="Lucy"/>
    <n v="80"/>
    <x v="0"/>
    <x v="18"/>
    <n v="17830"/>
    <s v="Scarlett Johansson"/>
    <s v="No"/>
    <n v="126573960"/>
    <n v="324000000"/>
    <m/>
    <n v="40000000"/>
  </r>
  <r>
    <n v="409"/>
    <s v="Prometheus"/>
    <n v="80"/>
    <x v="0"/>
    <x v="13"/>
    <n v="16540"/>
    <s v="Noomi Rapace"/>
    <s v="No"/>
    <n v="126477084"/>
    <n v="272528622"/>
    <m/>
    <n v="125000000"/>
  </r>
  <r>
    <n v="410"/>
    <s v="Mr. Deeds"/>
    <n v="10"/>
    <x v="6"/>
    <x v="14"/>
    <n v="10015"/>
    <s v="Adam Sandler"/>
    <s v="No"/>
    <n v="126203320"/>
    <n v="44976083"/>
    <m/>
    <n v="50000000"/>
  </r>
  <r>
    <n v="411"/>
    <s v="Safe House"/>
    <n v="10"/>
    <x v="6"/>
    <x v="13"/>
    <n v="12115"/>
    <s v="Denzel Washington"/>
    <s v="No"/>
    <n v="126181630"/>
    <n v="82360532"/>
    <m/>
    <n v="85000000"/>
  </r>
  <r>
    <n v="412"/>
    <s v="The Dream is Alive"/>
    <n v="30"/>
    <x v="7"/>
    <x v="32"/>
    <n v="10000"/>
    <s v="Unidentified"/>
    <s v="No"/>
    <n v="125900000"/>
    <n v="120498675"/>
    <m/>
    <n v="65000000"/>
  </r>
  <r>
    <n v="413"/>
    <s v="Erin Brockovich"/>
    <n v="20"/>
    <x v="5"/>
    <x v="25"/>
    <n v="18415"/>
    <s v="T.J. Thyne"/>
    <s v="No"/>
    <n v="125548685"/>
    <n v="132256558"/>
    <m/>
    <n v="50000000"/>
  </r>
  <r>
    <n v="414"/>
    <s v="Ocean's Twelve"/>
    <n v="10"/>
    <x v="6"/>
    <x v="7"/>
    <n v="12925"/>
    <s v="George Clooney"/>
    <s v="Yes"/>
    <n v="125531634"/>
    <n v="237457442"/>
    <m/>
    <n v="110000000"/>
  </r>
  <r>
    <n v="415"/>
    <s v="The Truman Show"/>
    <n v="10"/>
    <x v="6"/>
    <x v="31"/>
    <n v="14155"/>
    <s v="Jim Carrey"/>
    <s v="No"/>
    <n v="125466701"/>
    <n v="138500000"/>
    <m/>
    <n v="60000000"/>
  </r>
  <r>
    <n v="416"/>
    <s v="The Flintstones"/>
    <n v="50"/>
    <x v="1"/>
    <x v="11"/>
    <n v="11860"/>
    <s v="Dann Florek"/>
    <s v="No"/>
    <n v="125388575"/>
    <n v="227968792"/>
    <m/>
    <n v="45000000"/>
  </r>
  <r>
    <n v="417"/>
    <s v="Terminator Salvation"/>
    <n v="80"/>
    <x v="0"/>
    <x v="0"/>
    <n v="11455"/>
    <s v="Christian Bale"/>
    <s v="Yes"/>
    <n v="125322469"/>
    <n v="240169323"/>
    <m/>
    <n v="200000000"/>
  </r>
  <r>
    <n v="418"/>
    <s v="Charlie's Angels"/>
    <n v="10"/>
    <x v="6"/>
    <x v="25"/>
    <n v="16090"/>
    <s v="Michael Papajohn"/>
    <s v="No"/>
    <n v="125305545"/>
    <n v="134430545"/>
    <m/>
    <n v="90000000"/>
  </r>
  <r>
    <n v="419"/>
    <s v="Tomorrow Never Dies"/>
    <n v="10"/>
    <x v="6"/>
    <x v="1"/>
    <n v="16975"/>
    <s v="Pierce Brosnan"/>
    <s v="Yes"/>
    <n v="125279326"/>
    <n v="214200000"/>
    <m/>
    <n v="110000000"/>
  </r>
  <r>
    <n v="420"/>
    <s v="Lone Survivor"/>
    <n v="20"/>
    <x v="5"/>
    <x v="13"/>
    <n v="15565"/>
    <s v="Mark Wahlberg"/>
    <s v="No"/>
    <n v="125095601"/>
    <n v="24709031"/>
    <m/>
    <n v="40000000"/>
  </r>
  <r>
    <n v="421"/>
    <s v="The Vow"/>
    <n v="50"/>
    <x v="1"/>
    <x v="13"/>
    <n v="17005"/>
    <s v="Rachel McAdams"/>
    <s v="No"/>
    <n v="125014030"/>
    <n v="72604130"/>
    <m/>
    <n v="30000000"/>
  </r>
  <r>
    <n v="422"/>
    <s v="Life of Pi"/>
    <n v="40"/>
    <x v="4"/>
    <x v="13"/>
    <n v="18340"/>
    <s v="Suraj Sharma"/>
    <s v="No"/>
    <n v="124987022"/>
    <n v="483000000"/>
    <m/>
    <n v="120000000"/>
  </r>
  <r>
    <n v="423"/>
    <s v="The Fault in Our Stars"/>
    <n v="10"/>
    <x v="6"/>
    <x v="18"/>
    <n v="17935"/>
    <s v="Shailene Woodley"/>
    <s v="No"/>
    <n v="124872350"/>
    <n v="178700000"/>
    <m/>
    <n v="12000000"/>
  </r>
  <r>
    <n v="424"/>
    <s v="Cloudy with a Chance of Meatballs"/>
    <n v="60"/>
    <x v="3"/>
    <x v="0"/>
    <n v="16420"/>
    <s v="Neil Patrick Harris"/>
    <s v="No"/>
    <n v="124870275"/>
    <n v="111957402"/>
    <m/>
    <n v="100000000"/>
  </r>
  <r>
    <n v="425"/>
    <s v="The Devil Wears Prada"/>
    <n v="10"/>
    <x v="6"/>
    <x v="10"/>
    <n v="12505"/>
    <s v="Emily Blunt"/>
    <s v="No"/>
    <n v="124740460"/>
    <n v="201332695"/>
    <m/>
    <n v="35000000"/>
  </r>
  <r>
    <n v="426"/>
    <s v="Something's Gotta Give"/>
    <n v="10"/>
    <x v="6"/>
    <x v="16"/>
    <n v="13450"/>
    <s v="Jack Nicholson"/>
    <s v="No"/>
    <n v="124685242"/>
    <n v="142000000"/>
    <m/>
    <n v="80000000"/>
  </r>
  <r>
    <n v="427"/>
    <s v="Teenage Mutant Ninja Turtles"/>
    <n v="40"/>
    <x v="4"/>
    <x v="24"/>
    <n v="12430"/>
    <s v="Elias Koteas"/>
    <s v="No"/>
    <n v="124635290"/>
    <n v="66734085"/>
    <m/>
    <n v="13500000"/>
  </r>
  <r>
    <n v="428"/>
    <s v="The Silence of the Lambs"/>
    <n v="10"/>
    <x v="6"/>
    <x v="30"/>
    <n v="14230"/>
    <s v="Jodie Foster"/>
    <s v="No"/>
    <n v="124507594"/>
    <n v="145000000"/>
    <s v="Y"/>
    <n v="20000000"/>
  </r>
  <r>
    <n v="429"/>
    <s v="Traffic"/>
    <n v="10"/>
    <x v="6"/>
    <x v="25"/>
    <n v="15985"/>
    <s v="Michael Douglas"/>
    <s v="No"/>
    <n v="124107476"/>
    <n v="84192524"/>
    <m/>
    <n v="48000000"/>
  </r>
  <r>
    <n v="430"/>
    <s v="Rocky IV"/>
    <n v="10"/>
    <x v="6"/>
    <x v="32"/>
    <n v="18385"/>
    <s v="Sylvester Stallone"/>
    <s v="Yes"/>
    <n v="123947780"/>
    <n v="172500000"/>
    <m/>
    <n v="0"/>
  </r>
  <r>
    <n v="431"/>
    <s v="The Birdcage"/>
    <n v="10"/>
    <x v="6"/>
    <x v="22"/>
    <n v="13900"/>
    <s v="Jay Leno"/>
    <s v="No"/>
    <n v="123939840"/>
    <n v="57700000"/>
    <m/>
    <n v="0"/>
  </r>
  <r>
    <n v="432"/>
    <s v="Nutty Professor II: The Klumps"/>
    <n v="10"/>
    <x v="6"/>
    <x v="25"/>
    <n v="12400"/>
    <s v="Eddie Murphy"/>
    <s v="Yes"/>
    <n v="123307945"/>
    <n v="43000000"/>
    <m/>
    <n v="84000000"/>
  </r>
  <r>
    <n v="433"/>
    <s v="Rango"/>
    <n v="60"/>
    <x v="3"/>
    <x v="13"/>
    <n v="14350"/>
    <s v="Johnny Depp"/>
    <s v="No"/>
    <n v="123257581"/>
    <n v="122246993"/>
    <m/>
    <n v="135000000"/>
  </r>
  <r>
    <n v="434"/>
    <s v="G.I. Joe: Retaliation"/>
    <n v="10"/>
    <x v="6"/>
    <x v="3"/>
    <n v="17095"/>
    <s v="Ray Stevenson"/>
    <s v="Yes"/>
    <n v="122523060"/>
    <n v="249400000"/>
    <m/>
    <n v="140000000"/>
  </r>
  <r>
    <n v="435"/>
    <s v="Clear and Present Danger"/>
    <n v="10"/>
    <x v="6"/>
    <x v="11"/>
    <n v="13225"/>
    <s v="Henry Czerny"/>
    <s v="No"/>
    <n v="121832939"/>
    <n v="85487344"/>
    <m/>
    <n v="62000000"/>
  </r>
  <r>
    <n v="436"/>
    <s v="Good Morning Vietnam"/>
    <n v="50"/>
    <x v="1"/>
    <x v="41"/>
    <n v="17425"/>
    <s v="Robin Williams"/>
    <s v="No"/>
    <n v="121650966"/>
    <n v="191844722"/>
    <m/>
    <n v="3900000"/>
  </r>
  <r>
    <n v="437"/>
    <s v="The Bourne Identity"/>
    <n v="10"/>
    <x v="6"/>
    <x v="14"/>
    <n v="12850"/>
    <s v="Gabriel Mann"/>
    <s v="No"/>
    <n v="121468960"/>
    <n v="92888411"/>
    <m/>
    <n v="60000000"/>
  </r>
  <r>
    <n v="438"/>
    <s v="Superbad"/>
    <n v="10"/>
    <x v="6"/>
    <x v="19"/>
    <n v="14395"/>
    <s v="Jonah Hill"/>
    <s v="No"/>
    <n v="121463226"/>
    <n v="48491916"/>
    <m/>
    <n v="17500000"/>
  </r>
  <r>
    <n v="439"/>
    <s v="Coming to America"/>
    <n v="10"/>
    <x v="6"/>
    <x v="40"/>
    <n v="18175"/>
    <s v="Stephanie Simon"/>
    <s v="No"/>
    <n v="120794325"/>
    <n v="160647699"/>
    <m/>
    <n v="0"/>
  </r>
  <r>
    <n v="440"/>
    <s v="50 First Dates"/>
    <n v="10"/>
    <x v="6"/>
    <x v="7"/>
    <n v="15835"/>
    <s v="Maya Rudolph"/>
    <s v="No"/>
    <n v="120776832"/>
    <n v="75547664"/>
    <m/>
    <n v="75000000"/>
  </r>
  <r>
    <n v="441"/>
    <s v="Inglourious Basterds"/>
    <n v="50"/>
    <x v="1"/>
    <x v="0"/>
    <n v="10930"/>
    <s v="Brad Pitt"/>
    <s v="No"/>
    <n v="120774594"/>
    <n v="196140670"/>
    <m/>
    <n v="70000000"/>
  </r>
  <r>
    <n v="442"/>
    <s v="Mulan"/>
    <n v="20"/>
    <x v="5"/>
    <x v="31"/>
    <n v="16240"/>
    <s v="Ming-Na"/>
    <s v="No"/>
    <n v="120618403"/>
    <n v="182879746"/>
    <m/>
    <n v="90000000"/>
  </r>
  <r>
    <n v="443"/>
    <s v="Speed"/>
    <n v="10"/>
    <x v="6"/>
    <x v="11"/>
    <n v="14755"/>
    <s v="Keanu Reeves"/>
    <s v="No"/>
    <n v="120360822"/>
    <n v="161951855"/>
    <m/>
    <n v="30000000"/>
  </r>
  <r>
    <n v="444"/>
    <s v="Seabiscuit"/>
    <n v="50"/>
    <x v="1"/>
    <x v="16"/>
    <n v="18685"/>
    <s v="Tobey Maguire"/>
    <s v="No"/>
    <n v="120197488"/>
    <n v="28437488"/>
    <m/>
    <n v="86000000"/>
  </r>
  <r>
    <n v="445"/>
    <s v="Van Helsing"/>
    <n v="50"/>
    <x v="1"/>
    <x v="7"/>
    <n v="13270"/>
    <s v="Hugh Jackman"/>
    <s v="No"/>
    <n v="120150546"/>
    <n v="180000000"/>
    <m/>
    <n v="170000000"/>
  </r>
  <r>
    <n v="446"/>
    <s v="Four Christmases"/>
    <n v="10"/>
    <x v="6"/>
    <x v="4"/>
    <n v="14380"/>
    <s v="Jon Voight"/>
    <s v="No"/>
    <n v="120146040"/>
    <n v="48165518"/>
    <m/>
    <n v="80000000"/>
  </r>
  <r>
    <n v="447"/>
    <s v="The Mask"/>
    <n v="40"/>
    <x v="4"/>
    <x v="11"/>
    <n v="14155"/>
    <s v="Jim Carrey"/>
    <s v="No"/>
    <n v="119874149"/>
    <n v="231700000"/>
    <m/>
    <n v="18000000"/>
  </r>
  <r>
    <n v="448"/>
    <s v="Cloudy with a Chance of Meatballs 2"/>
    <n v="60"/>
    <x v="3"/>
    <x v="9"/>
    <n v="10795"/>
    <s v="Bill Hader"/>
    <s v="Yes"/>
    <n v="119793567"/>
    <n v="154599082"/>
    <m/>
    <n v="78000000"/>
  </r>
  <r>
    <n v="449"/>
    <s v="I Now Pronounce You Chuck and Larry"/>
    <n v="10"/>
    <x v="6"/>
    <x v="19"/>
    <n v="17245"/>
    <s v="Rob Schneider"/>
    <s v="No"/>
    <n v="119725280"/>
    <n v="65983182"/>
    <m/>
    <n v="85000000"/>
  </r>
  <r>
    <n v="450"/>
    <s v="Walk the Line"/>
    <n v="20"/>
    <x v="5"/>
    <x v="17"/>
    <n v="17110"/>
    <s v="Reese Witherspoon"/>
    <s v="No"/>
    <n v="119519402"/>
    <n v="68188093"/>
    <m/>
    <n v="29000000"/>
  </r>
  <r>
    <n v="451"/>
    <s v="Blazing Saddles"/>
    <n v="50"/>
    <x v="1"/>
    <x v="46"/>
    <n v="13165"/>
    <s v="Harvey Korman"/>
    <s v="No"/>
    <n v="119500000"/>
    <n v="27000000"/>
    <m/>
    <n v="61000000"/>
  </r>
  <r>
    <n v="452"/>
    <s v="G-Force"/>
    <n v="60"/>
    <x v="3"/>
    <x v="0"/>
    <n v="19270"/>
    <s v="Zach Galifianakis"/>
    <s v="No"/>
    <n v="119436770"/>
    <n v="126000000"/>
    <m/>
    <n v="80000000"/>
  </r>
  <r>
    <n v="453"/>
    <s v="Wayne's World"/>
    <n v="10"/>
    <x v="6"/>
    <x v="33"/>
    <n v="16180"/>
    <s v="Mike Myers"/>
    <s v="No"/>
    <n v="119352584"/>
    <n v="61400000"/>
    <m/>
    <n v="20000000"/>
  </r>
  <r>
    <n v="454"/>
    <s v="Rocky III"/>
    <n v="10"/>
    <x v="6"/>
    <x v="8"/>
    <n v="18385"/>
    <s v="Sylvester Stallone"/>
    <s v="Yes"/>
    <n v="119350720"/>
    <n v="85959151"/>
    <m/>
    <n v="24000000"/>
  </r>
  <r>
    <n v="455"/>
    <s v="The Other Guys"/>
    <n v="10"/>
    <x v="6"/>
    <x v="12"/>
    <n v="12355"/>
    <s v="Dwayne Johnson"/>
    <s v="No"/>
    <n v="119219978"/>
    <n v="51716492"/>
    <m/>
    <n v="100000000"/>
  </r>
  <r>
    <n v="456"/>
    <s v="Fahrenheit 9/11"/>
    <n v="30"/>
    <x v="7"/>
    <x v="7"/>
    <n v="10000"/>
    <s v="Unidentified"/>
    <s v="No"/>
    <n v="119114517"/>
    <n v="102034442"/>
    <m/>
    <n v="6000000"/>
  </r>
  <r>
    <n v="457"/>
    <s v="Hairspray"/>
    <n v="50"/>
    <x v="1"/>
    <x v="19"/>
    <n v="17185"/>
    <s v="Ricki Lake"/>
    <s v="No"/>
    <n v="118871849"/>
    <n v="84000000"/>
    <m/>
    <n v="75000000"/>
  </r>
  <r>
    <n v="458"/>
    <s v="On Golden Pond"/>
    <n v="10"/>
    <x v="6"/>
    <x v="28"/>
    <n v="13750"/>
    <s v="Jane Fonda"/>
    <s v="No"/>
    <n v="118710777"/>
    <n v="51634572"/>
    <m/>
    <n v="70000000"/>
  </r>
  <r>
    <n v="459"/>
    <s v="The Break-Up"/>
    <n v="10"/>
    <x v="6"/>
    <x v="10"/>
    <n v="14515"/>
    <s v="Judy Davis"/>
    <s v="No"/>
    <n v="118703275"/>
    <n v="87024032"/>
    <m/>
    <n v="52000000"/>
  </r>
  <r>
    <n v="460"/>
    <s v="Lemony Snicket's A Series of Unfortunate Events"/>
    <n v="60"/>
    <x v="3"/>
    <x v="7"/>
    <n v="14155"/>
    <s v="Jim Carrey"/>
    <s v="No"/>
    <n v="118627117"/>
    <n v="94328907"/>
    <m/>
    <n v="100000000"/>
  </r>
  <r>
    <n v="461"/>
    <s v="The Sum of All Fears"/>
    <n v="10"/>
    <x v="6"/>
    <x v="14"/>
    <n v="10630"/>
    <s v="Ben Affleck"/>
    <s v="No"/>
    <n v="118471320"/>
    <n v="75028680"/>
    <m/>
    <n v="68000000"/>
  </r>
  <r>
    <n v="462"/>
    <s v="Salt"/>
    <n v="10"/>
    <x v="6"/>
    <x v="12"/>
    <n v="10330"/>
    <s v="Angelina Jolie"/>
    <s v="No"/>
    <n v="118311368"/>
    <n v="172339126"/>
    <m/>
    <n v="130000000"/>
  </r>
  <r>
    <n v="463"/>
    <s v="Blades of Glory"/>
    <n v="10"/>
    <x v="6"/>
    <x v="19"/>
    <n v="17215"/>
    <s v="Rob Corddry"/>
    <s v="No"/>
    <n v="118245842"/>
    <n v="27000000"/>
    <m/>
    <n v="61000000"/>
  </r>
  <r>
    <n v="464"/>
    <s v="Now You See Me"/>
    <n v="10"/>
    <x v="6"/>
    <x v="9"/>
    <n v="13345"/>
    <s v="Isla Fisher"/>
    <s v="No"/>
    <n v="117723989"/>
    <n v="234000000"/>
    <m/>
    <n v="75000000"/>
  </r>
  <r>
    <n v="465"/>
    <s v="Big Momma's House"/>
    <n v="10"/>
    <x v="6"/>
    <x v="25"/>
    <n v="11260"/>
    <s v="Cedric the Entertainer"/>
    <s v="No"/>
    <n v="117559438"/>
    <n v="56000000"/>
    <m/>
    <n v="33000000"/>
  </r>
  <r>
    <n v="466"/>
    <s v="Horrible Bosses"/>
    <n v="10"/>
    <x v="6"/>
    <x v="12"/>
    <n v="13795"/>
    <s v="Jason Bateman"/>
    <s v="No"/>
    <n v="117538559"/>
    <n v="94879042"/>
    <m/>
    <n v="35000000"/>
  </r>
  <r>
    <n v="467"/>
    <s v="Die Hard 2"/>
    <n v="10"/>
    <x v="6"/>
    <x v="24"/>
    <n v="14800"/>
    <s v="Ken Baldwin"/>
    <s v="No"/>
    <n v="117323878"/>
    <n v="122490147"/>
    <m/>
    <n v="70000000"/>
  </r>
  <r>
    <n v="468"/>
    <s v="Rocky"/>
    <n v="10"/>
    <x v="6"/>
    <x v="47"/>
    <n v="18385"/>
    <s v="Sylvester Stallone"/>
    <s v="No"/>
    <n v="117235147"/>
    <n v="107764853"/>
    <s v="Y"/>
    <n v="1000000"/>
  </r>
  <r>
    <n v="469"/>
    <s v="Jackass 3D"/>
    <n v="30"/>
    <x v="7"/>
    <x v="12"/>
    <n v="14365"/>
    <s v="Johnny Knoxville"/>
    <s v="Yes"/>
    <n v="117229692"/>
    <n v="54456101"/>
    <m/>
    <n v="20000000"/>
  </r>
  <r>
    <n v="470"/>
    <s v="Ocean's Thirteen"/>
    <n v="10"/>
    <x v="6"/>
    <x v="19"/>
    <n v="12925"/>
    <s v="George Clooney"/>
    <s v="Yes"/>
    <n v="117144465"/>
    <n v="194600000"/>
    <m/>
    <n v="85000000"/>
  </r>
  <r>
    <n v="471"/>
    <s v="The Wolf of Wall Street"/>
    <n v="20"/>
    <x v="5"/>
    <x v="13"/>
    <n v="15205"/>
    <s v="Leonardo DiCaprio"/>
    <s v="No"/>
    <n v="116900694"/>
    <n v="275076029"/>
    <m/>
    <n v="100000000"/>
  </r>
  <r>
    <n v="472"/>
    <s v="S.W.A.T."/>
    <n v="10"/>
    <x v="6"/>
    <x v="16"/>
    <n v="17755"/>
    <s v="Samuel L. Jackson"/>
    <s v="No"/>
    <n v="116877597"/>
    <n v="90277151"/>
    <m/>
    <n v="70000000"/>
  </r>
  <r>
    <n v="473"/>
    <s v="Sleepless in Seattle"/>
    <n v="10"/>
    <x v="6"/>
    <x v="15"/>
    <n v="17545"/>
    <s v="Rosie O'Donnell"/>
    <s v="No"/>
    <n v="116856908"/>
    <n v="101219116"/>
    <m/>
    <n v="0"/>
  </r>
  <r>
    <n v="474"/>
    <s v="Double Jeopardy"/>
    <n v="10"/>
    <x v="6"/>
    <x v="5"/>
    <n v="11950"/>
    <s v="Davenia McFadden"/>
    <s v="No"/>
    <n v="116735231"/>
    <n v="61100000"/>
    <m/>
    <n v="40000000"/>
  </r>
  <r>
    <n v="475"/>
    <s v="8 Mile"/>
    <n v="10"/>
    <x v="6"/>
    <x v="14"/>
    <n v="16105"/>
    <s v="Michael Shannon"/>
    <s v="No"/>
    <n v="116724075"/>
    <n v="129045127"/>
    <m/>
    <n v="41000000"/>
  </r>
  <r>
    <n v="476"/>
    <s v="Lee Daniels' The Butler"/>
    <n v="20"/>
    <x v="5"/>
    <x v="13"/>
    <n v="12685"/>
    <s v="Forest Whitaker"/>
    <s v="No"/>
    <n v="116632095"/>
    <n v="60393403"/>
    <m/>
    <n v="30000000"/>
  </r>
  <r>
    <n v="477"/>
    <s v="Green Lantern"/>
    <n v="90"/>
    <x v="2"/>
    <x v="13"/>
    <n v="18610"/>
    <s v="Tim Robbins"/>
    <s v="No"/>
    <n v="116601172"/>
    <n v="114600000"/>
    <m/>
    <n v="200000000"/>
  </r>
  <r>
    <n v="478"/>
    <s v="Notting Hill"/>
    <n v="10"/>
    <x v="6"/>
    <x v="5"/>
    <n v="14530"/>
    <s v="Julia Roberts"/>
    <s v="No"/>
    <n v="116089678"/>
    <n v="247638548"/>
    <m/>
    <n v="42000000"/>
  </r>
  <r>
    <n v="479"/>
    <s v="City Slickers"/>
    <n v="10"/>
    <x v="6"/>
    <x v="30"/>
    <n v="17290"/>
    <s v="Robert Costanzo"/>
    <s v="No"/>
    <n v="116014390"/>
    <n v="120000000"/>
    <m/>
    <n v="55000000"/>
  </r>
  <r>
    <n v="480"/>
    <s v="Towering Inferno"/>
    <n v="10"/>
    <x v="6"/>
    <x v="46"/>
    <n v="16780"/>
    <s v="Paul Newman"/>
    <s v="No"/>
    <n v="116000000"/>
    <n v="23700000"/>
    <m/>
    <n v="14000000"/>
  </r>
  <r>
    <n v="481"/>
    <s v="Basic Instinct"/>
    <n v="10"/>
    <x v="6"/>
    <x v="33"/>
    <n v="16270"/>
    <s v="Mitch Pileggi"/>
    <s v="No"/>
    <n v="115881197"/>
    <n v="234972776"/>
    <m/>
    <n v="0"/>
  </r>
  <r>
    <n v="482"/>
    <s v="Ghost Rider"/>
    <n v="90"/>
    <x v="2"/>
    <x v="19"/>
    <n v="16465"/>
    <s v="Nicolas Cage"/>
    <s v="No"/>
    <n v="115802596"/>
    <n v="113742993"/>
    <m/>
    <n v="120000000"/>
  </r>
  <r>
    <n v="483"/>
    <s v="You've Got Mail"/>
    <n v="10"/>
    <x v="6"/>
    <x v="31"/>
    <n v="18760"/>
    <s v="Tom Hanks"/>
    <s v="No"/>
    <n v="115731542"/>
    <n v="134978505"/>
    <m/>
    <n v="65000000"/>
  </r>
  <r>
    <n v="484"/>
    <s v="Remember the Titans"/>
    <n v="10"/>
    <x v="6"/>
    <x v="25"/>
    <n v="12115"/>
    <s v="Denzel Washington"/>
    <s v="No"/>
    <n v="115654751"/>
    <n v="21051932"/>
    <m/>
    <n v="30000000"/>
  </r>
  <r>
    <n v="485"/>
    <s v="District 9"/>
    <n v="80"/>
    <x v="0"/>
    <x v="0"/>
    <n v="15445"/>
    <s v="Mampho Brescia"/>
    <s v="No"/>
    <n v="115646235"/>
    <n v="96807196"/>
    <m/>
    <n v="30000000"/>
  </r>
  <r>
    <n v="486"/>
    <s v="Unbroken"/>
    <n v="20"/>
    <x v="5"/>
    <x v="18"/>
    <n v="13465"/>
    <s v="Jack O'Connell"/>
    <s v="No"/>
    <n v="115637895"/>
    <n v="47640460"/>
    <m/>
    <n v="65000000"/>
  </r>
  <r>
    <n v="487"/>
    <s v="American Graffiti"/>
    <n v="10"/>
    <x v="6"/>
    <x v="34"/>
    <n v="16735"/>
    <s v="Paul Le Mat"/>
    <s v="No"/>
    <n v="115000000"/>
    <n v="25000000"/>
    <m/>
    <n v="777000"/>
  </r>
  <r>
    <n v="488"/>
    <s v="Dodgeball: A True Underdog Story"/>
    <n v="10"/>
    <x v="6"/>
    <x v="7"/>
    <n v="14260"/>
    <s v="Joel Moore"/>
    <s v="No"/>
    <n v="114326736"/>
    <n v="53464968"/>
    <m/>
    <n v="30000000"/>
  </r>
  <r>
    <n v="489"/>
    <s v="The Village"/>
    <n v="10"/>
    <x v="6"/>
    <x v="7"/>
    <n v="14200"/>
    <s v="Joaquin Phoenix"/>
    <s v="No"/>
    <n v="114197520"/>
    <n v="143444114"/>
    <m/>
    <n v="71682975"/>
  </r>
  <r>
    <n v="490"/>
    <s v="Bolt"/>
    <n v="60"/>
    <x v="3"/>
    <x v="4"/>
    <n v="18370"/>
    <s v="Susie Essman"/>
    <s v="No"/>
    <n v="114053759"/>
    <n v="213961450"/>
    <m/>
    <n v="150000000"/>
  </r>
  <r>
    <n v="491"/>
    <s v="Wild Wild West"/>
    <n v="50"/>
    <x v="1"/>
    <x v="5"/>
    <n v="19165"/>
    <s v="Will Smith"/>
    <s v="No"/>
    <n v="113805681"/>
    <n v="107423654"/>
    <m/>
    <n v="175000000"/>
  </r>
  <r>
    <n v="492"/>
    <s v="Night at the Museum: Secret of the Tomb"/>
    <n v="40"/>
    <x v="4"/>
    <x v="18"/>
    <n v="10660"/>
    <s v="Ben Stiller"/>
    <s v="Yes"/>
    <n v="113746621"/>
    <n v="242800000"/>
    <m/>
    <n v="127000000"/>
  </r>
  <r>
    <n v="493"/>
    <s v="Magic Mike"/>
    <n v="10"/>
    <x v="6"/>
    <x v="3"/>
    <n v="11290"/>
    <s v="Channing Tatum"/>
    <s v="No"/>
    <n v="113721571"/>
    <n v="56828182"/>
    <m/>
    <n v="7000000"/>
  </r>
  <r>
    <n v="494"/>
    <s v="The Addams Family"/>
    <n v="40"/>
    <x v="4"/>
    <x v="30"/>
    <n v="10600"/>
    <s v="Barry Sonnenfeld"/>
    <s v="No"/>
    <n v="113502246"/>
    <n v="100019072"/>
    <m/>
    <n v="110000000"/>
  </r>
  <r>
    <n v="495"/>
    <s v="The Hunt for Red October"/>
    <n v="50"/>
    <x v="1"/>
    <x v="24"/>
    <n v="18640"/>
    <s v="Timothy Carhart"/>
    <s v="No"/>
    <n v="113485385"/>
    <n v="79790134"/>
    <m/>
    <n v="30000000"/>
  </r>
  <r>
    <n v="496"/>
    <s v="The Patriot"/>
    <n v="50"/>
    <x v="1"/>
    <x v="25"/>
    <n v="15865"/>
    <s v="Mel Gibson"/>
    <s v="No"/>
    <n v="113330342"/>
    <n v="101969658"/>
    <m/>
    <n v="110000000"/>
  </r>
  <r>
    <n v="497"/>
    <s v="Big"/>
    <n v="40"/>
    <x v="4"/>
    <x v="40"/>
    <n v="12070"/>
    <s v="Debra Jo Rupp"/>
    <s v="No"/>
    <n v="113327971"/>
    <n v="36700000"/>
    <m/>
    <n v="18000000"/>
  </r>
  <r>
    <n v="498"/>
    <s v="The Bourne Legacy"/>
    <n v="10"/>
    <x v="6"/>
    <x v="13"/>
    <n v="14065"/>
    <s v="Jeremy Renner"/>
    <s v="Yes"/>
    <n v="113203870"/>
    <n v="167152050"/>
    <m/>
    <n v="125000000"/>
  </r>
  <r>
    <n v="499"/>
    <s v="The Pacifier"/>
    <n v="10"/>
    <x v="6"/>
    <x v="17"/>
    <n v="11395"/>
    <s v="Chris Potter"/>
    <s v="No"/>
    <n v="113006880"/>
    <n v="85000000"/>
    <m/>
    <n v="56000000"/>
  </r>
  <r>
    <n v="500"/>
    <s v="Doctor Dolittle 2"/>
    <n v="60"/>
    <x v="3"/>
    <x v="20"/>
    <n v="11980"/>
    <s v="David Cross"/>
    <s v="Yes"/>
    <n v="112950721"/>
    <n v="63151000"/>
    <m/>
    <n v="72000000"/>
  </r>
  <r>
    <n v="501"/>
    <s v="It's Complicated"/>
    <n v="10"/>
    <x v="6"/>
    <x v="0"/>
    <n v="16555"/>
    <s v="Nora Dunn"/>
    <s v="No"/>
    <n v="112735375"/>
    <n v="111879369"/>
    <m/>
    <n v="85000000"/>
  </r>
  <r>
    <n v="502"/>
    <s v="Spy Kids"/>
    <n v="60"/>
    <x v="3"/>
    <x v="20"/>
    <n v="10495"/>
    <s v="Antonio Banderas"/>
    <s v="No"/>
    <n v="112692062"/>
    <n v="85000000"/>
    <m/>
    <n v="35000000"/>
  </r>
  <r>
    <n v="503"/>
    <s v="Face/Off"/>
    <n v="10"/>
    <x v="6"/>
    <x v="1"/>
    <n v="11245"/>
    <s v="CCH Pounder"/>
    <s v="No"/>
    <n v="112273211"/>
    <n v="128923854"/>
    <m/>
    <n v="80000000"/>
  </r>
  <r>
    <n v="504"/>
    <s v="The Hangover 3"/>
    <n v="10"/>
    <x v="6"/>
    <x v="9"/>
    <n v="10945"/>
    <s v="Bradley Cooper"/>
    <s v="Yes"/>
    <n v="112200072"/>
    <n v="249800000"/>
    <m/>
    <n v="103000000"/>
  </r>
  <r>
    <n v="505"/>
    <s v="Twins"/>
    <n v="10"/>
    <x v="6"/>
    <x v="40"/>
    <n v="11875"/>
    <s v="Danny De Vito"/>
    <s v="No"/>
    <n v="111936388"/>
    <n v="104663612"/>
    <m/>
    <n v="15000000"/>
  </r>
  <r>
    <n v="506"/>
    <s v="Spy Kids 3-D: Game Over"/>
    <n v="60"/>
    <x v="3"/>
    <x v="16"/>
    <n v="11905"/>
    <s v="Daryl Sabara"/>
    <s v="Yes"/>
    <n v="111760631"/>
    <n v="56091364"/>
    <m/>
    <n v="40000000"/>
  </r>
  <r>
    <n v="507"/>
    <s v="Doctor Zhivago"/>
    <n v="50"/>
    <x v="1"/>
    <x v="42"/>
    <n v="18730"/>
    <s v="Tom Courtenay"/>
    <s v="No"/>
    <n v="111721000"/>
    <n v="136946253"/>
    <m/>
    <n v="67500000"/>
  </r>
  <r>
    <n v="508"/>
    <s v="The Bodyguard"/>
    <n v="10"/>
    <x v="6"/>
    <x v="33"/>
    <n v="16210"/>
    <s v="Mike Starr"/>
    <s v="No"/>
    <n v="111634286"/>
    <n v="288954280"/>
    <m/>
    <n v="25000000"/>
  </r>
  <r>
    <n v="509"/>
    <s v="Enemy of the State"/>
    <n v="10"/>
    <x v="6"/>
    <x v="31"/>
    <n v="13360"/>
    <s v="Ivana Milicevic"/>
    <s v="No"/>
    <n v="111544445"/>
    <n v="139100000"/>
    <m/>
    <n v="85000000"/>
  </r>
  <r>
    <n v="510"/>
    <s v="Mr. Peabody &amp; Sherman"/>
    <n v="60"/>
    <x v="3"/>
    <x v="9"/>
    <n v="18955"/>
    <s v="Ty Burrell"/>
    <s v="No"/>
    <n v="111506430"/>
    <n v="158300000"/>
    <m/>
    <n v="145000000"/>
  </r>
  <r>
    <n v="511"/>
    <s v="The Last Samurai"/>
    <n v="50"/>
    <x v="1"/>
    <x v="16"/>
    <n v="18070"/>
    <s v="Shun Sugata"/>
    <s v="No"/>
    <n v="111110575"/>
    <n v="345700000"/>
    <m/>
    <n v="140000000"/>
  </r>
  <r>
    <n v="512"/>
    <s v="Spy!"/>
    <n v="10"/>
    <x v="6"/>
    <x v="2"/>
    <n v="15895"/>
    <s v="Melissa McCarthy"/>
    <s v="No"/>
    <n v="110825712"/>
    <n v="122300000"/>
    <m/>
    <n v="65000000"/>
  </r>
  <r>
    <n v="513"/>
    <s v="The Karate Kid, Part II"/>
    <n v="10"/>
    <x v="6"/>
    <x v="39"/>
    <n v="17050"/>
    <s v="Ralph Macchio"/>
    <s v="Yes"/>
    <n v="110722495"/>
    <n v="175183320"/>
    <m/>
    <n v="40000000"/>
  </r>
  <r>
    <n v="514"/>
    <s v="Fun With Dick And Jane"/>
    <n v="10"/>
    <x v="6"/>
    <x v="17"/>
    <n v="11170"/>
    <s v="Carlos Jacott"/>
    <s v="No"/>
    <n v="110550000"/>
    <n v="92468919"/>
    <m/>
    <n v="140000000"/>
  </r>
  <r>
    <n v="515"/>
    <s v="Valentine's Day"/>
    <n v="10"/>
    <x v="6"/>
    <x v="0"/>
    <n v="12955"/>
    <s v="George Lopez"/>
    <s v="No"/>
    <n v="110485654"/>
    <n v="107083674"/>
    <m/>
    <n v="52000000"/>
  </r>
  <r>
    <n v="516"/>
    <s v="Tropic Thunder"/>
    <n v="10"/>
    <x v="6"/>
    <x v="4"/>
    <n v="10660"/>
    <s v="Ben Stiller"/>
    <s v="No"/>
    <n v="110461307"/>
    <n v="80629943"/>
    <m/>
    <n v="90000000"/>
  </r>
  <r>
    <n v="517"/>
    <s v="Freaky Friday"/>
    <n v="10"/>
    <x v="6"/>
    <x v="16"/>
    <n v="15475"/>
    <s v="Marc McClure"/>
    <s v="No"/>
    <n v="110222438"/>
    <n v="50600000"/>
    <m/>
    <n v="26000000"/>
  </r>
  <r>
    <n v="518"/>
    <s v="The Grudge"/>
    <n v="40"/>
    <x v="4"/>
    <x v="7"/>
    <n v="13015"/>
    <s v="Grace Zabriskie"/>
    <s v="No"/>
    <n v="110175871"/>
    <n v="76921753"/>
    <m/>
    <n v="10000000"/>
  </r>
  <r>
    <n v="519"/>
    <s v="Bedtime Stories"/>
    <n v="40"/>
    <x v="4"/>
    <x v="4"/>
    <n v="18550"/>
    <s v="Thomas Hoffman"/>
    <s v="No"/>
    <n v="110101975"/>
    <n v="111366960"/>
    <m/>
    <n v="80000000"/>
  </r>
  <r>
    <n v="520"/>
    <s v="Trainwreck"/>
    <n v="10"/>
    <x v="6"/>
    <x v="2"/>
    <n v="17350"/>
    <s v="Robert E. Torres"/>
    <s v="No"/>
    <n v="110038130"/>
    <n v="29075506"/>
    <m/>
    <n v="35000000"/>
  </r>
  <r>
    <n v="521"/>
    <s v="Ghostbusters II"/>
    <n v="80"/>
    <x v="0"/>
    <x v="27"/>
    <n v="11770"/>
    <s v="Dan Aykroyd"/>
    <s v="Yes"/>
    <n v="110000794"/>
    <n v="103005262"/>
    <m/>
    <n v="0"/>
  </r>
  <r>
    <n v="522"/>
    <s v="Scary Movie 3"/>
    <n v="10"/>
    <x v="6"/>
    <x v="16"/>
    <n v="10375"/>
    <s v="Anna Faris"/>
    <s v="Yes"/>
    <n v="110000082"/>
    <n v="45199918"/>
    <m/>
    <n v="45000000"/>
  </r>
  <r>
    <n v="523"/>
    <s v="Hook"/>
    <n v="60"/>
    <x v="3"/>
    <x v="30"/>
    <n v="11185"/>
    <s v="Caroline Goodall"/>
    <s v="No"/>
    <n v="109921554"/>
    <n v="181200000"/>
    <m/>
    <n v="70000000"/>
  </r>
  <r>
    <n v="524"/>
    <s v="The Little Mermaid"/>
    <n v="60"/>
    <x v="3"/>
    <x v="27"/>
    <n v="15550"/>
    <s v="Mark Hamill"/>
    <s v="No"/>
    <n v="109859444"/>
    <n v="110756521"/>
    <m/>
    <n v="0"/>
  </r>
  <r>
    <n v="525"/>
    <s v="Crocodile Dundee 2"/>
    <n v="10"/>
    <x v="6"/>
    <x v="40"/>
    <n v="18190"/>
    <s v="Stephen Root"/>
    <s v="Yes"/>
    <n v="109306210"/>
    <n v="130300000"/>
    <m/>
    <n v="14000000"/>
  </r>
  <r>
    <n v="526"/>
    <s v="The 40 Year-old Virgin"/>
    <n v="10"/>
    <x v="6"/>
    <x v="17"/>
    <n v="14890"/>
    <s v="Kevin Hart"/>
    <s v="No"/>
    <n v="109243478"/>
    <n v="67894993"/>
    <m/>
    <n v="26000000"/>
  </r>
  <r>
    <n v="527"/>
    <s v="Couples Retreat"/>
    <n v="10"/>
    <x v="6"/>
    <x v="0"/>
    <n v="11620"/>
    <s v="Colin Baiocchhi"/>
    <s v="No"/>
    <n v="109205660"/>
    <n v="63244763"/>
    <m/>
    <n v="60000000"/>
  </r>
  <r>
    <n v="528"/>
    <s v="Back to the Future Part II"/>
    <n v="80"/>
    <x v="0"/>
    <x v="27"/>
    <n v="11215"/>
    <s v="Casey Siemaszko"/>
    <s v="Yes"/>
    <n v="109116271"/>
    <n v="213549998"/>
    <m/>
    <n v="40000000"/>
  </r>
  <r>
    <n v="529"/>
    <s v="One Flew Over the Cuckoo's Nest"/>
    <n v="10"/>
    <x v="6"/>
    <x v="26"/>
    <n v="11485"/>
    <s v="Christopher Lloyd"/>
    <s v="No"/>
    <n v="108981275"/>
    <n v="51634572"/>
    <s v="Y"/>
    <n v="70000000"/>
  </r>
  <r>
    <n v="530"/>
    <s v="A Time to Kill"/>
    <n v="10"/>
    <x v="6"/>
    <x v="22"/>
    <n v="17755"/>
    <s v="Samuel L. Jackson"/>
    <s v="No"/>
    <n v="108706165"/>
    <n v="43500000"/>
    <m/>
    <n v="40000000"/>
  </r>
  <r>
    <n v="531"/>
    <s v="Black Hawk Down"/>
    <n v="20"/>
    <x v="5"/>
    <x v="20"/>
    <n v="18955"/>
    <s v="Ty Burrell"/>
    <s v="No"/>
    <n v="108638745"/>
    <n v="51052340"/>
    <m/>
    <n v="95000000"/>
  </r>
  <r>
    <n v="532"/>
    <s v="Total Recall"/>
    <n v="80"/>
    <x v="0"/>
    <x v="24"/>
    <n v="17980"/>
    <s v="Sharon Stone"/>
    <s v="No"/>
    <n v="108580729"/>
    <n v="152978119"/>
    <m/>
    <n v="125000000"/>
  </r>
  <r>
    <n v="533"/>
    <s v="Ace Ventura: When Nature Calls"/>
    <n v="10"/>
    <x v="6"/>
    <x v="36"/>
    <n v="10030"/>
    <s v="Adewale Akinnuoye-Agbaje"/>
    <s v="Yes"/>
    <n v="108344348"/>
    <n v="104039937"/>
    <m/>
    <n v="30000000"/>
  </r>
  <r>
    <n v="534"/>
    <s v="The Princess Diaries"/>
    <n v="10"/>
    <x v="6"/>
    <x v="20"/>
    <n v="14560"/>
    <s v="Julie Andrews"/>
    <s v="No"/>
    <n v="108244774"/>
    <n v="57090000"/>
    <m/>
    <n v="30000000"/>
  </r>
  <r>
    <n v="535"/>
    <s v="Hop"/>
    <n v="60"/>
    <x v="3"/>
    <x v="13"/>
    <n v="13645"/>
    <s v="James Marsden"/>
    <s v="No"/>
    <n v="108085305"/>
    <n v="80572288"/>
    <m/>
    <n v="63000000"/>
  </r>
  <r>
    <n v="536"/>
    <s v="Paranormal Activity"/>
    <n v="40"/>
    <x v="4"/>
    <x v="0"/>
    <n v="15535"/>
    <s v="Mark Fredrichs"/>
    <s v="No"/>
    <n v="107918810"/>
    <n v="86264224"/>
    <m/>
    <n v="450000"/>
  </r>
  <r>
    <n v="537"/>
    <s v="Pulp Fiction"/>
    <n v="10"/>
    <x v="6"/>
    <x v="11"/>
    <n v="18625"/>
    <s v="Tim Roth"/>
    <s v="No"/>
    <n v="107886108"/>
    <n v="105000000"/>
    <m/>
    <n v="8000000"/>
  </r>
  <r>
    <n v="538"/>
    <s v="Epic"/>
    <n v="60"/>
    <x v="3"/>
    <x v="9"/>
    <n v="10735"/>
    <s v="Beyonce Knowles"/>
    <s v="No"/>
    <n v="107518682"/>
    <n v="155275759"/>
    <m/>
    <n v="100000000"/>
  </r>
  <r>
    <n v="539"/>
    <s v="Watchmen"/>
    <n v="90"/>
    <x v="2"/>
    <x v="0"/>
    <n v="15775"/>
    <s v="Matthew Goode"/>
    <s v="No"/>
    <n v="107509799"/>
    <n v="76558558"/>
    <m/>
    <n v="138000000"/>
  </r>
  <r>
    <n v="540"/>
    <s v="A League of Their Own"/>
    <n v="50"/>
    <x v="1"/>
    <x v="33"/>
    <n v="12280"/>
    <s v="Don S. Davis"/>
    <s v="No"/>
    <n v="107404544"/>
    <n v="24906141"/>
    <m/>
    <n v="40000000"/>
  </r>
  <r>
    <n v="541"/>
    <s v="Batman &amp; Robin"/>
    <n v="90"/>
    <x v="2"/>
    <x v="1"/>
    <n v="14935"/>
    <s v="Kimberly Scott"/>
    <s v="Yes"/>
    <n v="107308328"/>
    <n v="130992619"/>
    <m/>
    <n v="125000000"/>
  </r>
  <r>
    <n v="542"/>
    <s v="Captain Phillips"/>
    <n v="20"/>
    <x v="5"/>
    <x v="9"/>
    <n v="18760"/>
    <s v="Tom Hanks"/>
    <s v="No"/>
    <n v="107136417"/>
    <n v="113511767"/>
    <m/>
    <n v="55000000"/>
  </r>
  <r>
    <n v="543"/>
    <s v="Star Trek IV: The Voyage Home"/>
    <n v="80"/>
    <x v="0"/>
    <x v="39"/>
    <n v="19225"/>
    <s v="William Shatner"/>
    <s v="Yes"/>
    <n v="107109310"/>
    <n v="238200000"/>
    <m/>
    <n v="190000000"/>
  </r>
  <r>
    <n v="544"/>
    <s v="Black Swan"/>
    <n v="10"/>
    <x v="6"/>
    <x v="12"/>
    <n v="16390"/>
    <s v="Natalie Portman"/>
    <s v="No"/>
    <n v="106954678"/>
    <n v="224312032"/>
    <m/>
    <n v="13000000"/>
  </r>
  <r>
    <n v="545"/>
    <s v="Analyze This"/>
    <n v="10"/>
    <x v="6"/>
    <x v="5"/>
    <n v="18895"/>
    <s v="Tony Darrow"/>
    <s v="No"/>
    <n v="106823373"/>
    <n v="70000000"/>
    <m/>
    <n v="30000000"/>
  </r>
  <r>
    <n v="546"/>
    <s v="Miss Congeniality"/>
    <n v="10"/>
    <x v="6"/>
    <x v="25"/>
    <n v="17770"/>
    <s v="Sandra Bullock"/>
    <s v="No"/>
    <n v="106807667"/>
    <n v="106613284"/>
    <m/>
    <n v="45000000"/>
  </r>
  <r>
    <n v="547"/>
    <s v="Chicken Run"/>
    <n v="60"/>
    <x v="3"/>
    <x v="25"/>
    <n v="10690"/>
    <s v="Benjamin Whitrow"/>
    <s v="No"/>
    <n v="106793915"/>
    <n v="121000000"/>
    <m/>
    <n v="42000000"/>
  </r>
  <r>
    <n v="548"/>
    <s v="300: Rise of an Empire"/>
    <n v="50"/>
    <x v="1"/>
    <x v="9"/>
    <n v="18325"/>
    <s v="Sullivan Stapleton"/>
    <s v="Yes"/>
    <n v="106580051"/>
    <n v="224200000"/>
    <m/>
    <n v="110000000"/>
  </r>
  <r>
    <n v="549"/>
    <s v="Love Story"/>
    <n v="10"/>
    <x v="6"/>
    <x v="48"/>
    <n v="18865"/>
    <s v="Tommy Lee Jones"/>
    <s v="No"/>
    <n v="106397186"/>
    <n v="30000000"/>
    <m/>
    <n v="0"/>
  </r>
  <r>
    <n v="550"/>
    <s v="The Italian Job"/>
    <n v="10"/>
    <x v="6"/>
    <x v="16"/>
    <n v="12295"/>
    <s v="Donald Sutherland"/>
    <s v="No"/>
    <n v="106126012"/>
    <n v="70136827"/>
    <m/>
    <n v="60000000"/>
  </r>
  <r>
    <n v="551"/>
    <s v="Goldeneye"/>
    <n v="10"/>
    <x v="6"/>
    <x v="36"/>
    <n v="16975"/>
    <s v="Pierce Brosnan"/>
    <s v="Yes"/>
    <n v="105978900"/>
    <n v="250000000"/>
    <m/>
    <n v="60000000"/>
  </r>
  <r>
    <n v="552"/>
    <s v="How to Lose a Guy in 10 Days"/>
    <n v="10"/>
    <x v="6"/>
    <x v="16"/>
    <n v="10615"/>
    <s v="Bebe Neuwirth"/>
    <s v="No"/>
    <n v="105807520"/>
    <n v="73083262"/>
    <m/>
    <n v="50000000"/>
  </r>
  <r>
    <n v="553"/>
    <s v="The First Wives Club"/>
    <n v="10"/>
    <x v="6"/>
    <x v="22"/>
    <n v="16945"/>
    <s v="Philip Bosco"/>
    <s v="No"/>
    <n v="105444419"/>
    <n v="76000000"/>
    <m/>
    <n v="30000000"/>
  </r>
  <r>
    <n v="554"/>
    <s v="Robin Hood"/>
    <n v="50"/>
    <x v="1"/>
    <x v="12"/>
    <n v="17605"/>
    <s v="Russell Crowe"/>
    <s v="No"/>
    <n v="105269730"/>
    <n v="216971858"/>
    <m/>
    <n v="210000000"/>
  </r>
  <r>
    <n v="555"/>
    <s v="Terms of Endearment"/>
    <n v="10"/>
    <x v="6"/>
    <x v="21"/>
    <n v="11875"/>
    <s v="Danny De Vito"/>
    <s v="No"/>
    <n v="105237012"/>
    <n v="350400000"/>
    <s v="Y"/>
    <n v="155000000"/>
  </r>
  <r>
    <n v="556"/>
    <s v="George Of The Jungle"/>
    <n v="60"/>
    <x v="3"/>
    <x v="1"/>
    <n v="18130"/>
    <s v="Spencer Garrett"/>
    <s v="No"/>
    <n v="105224566"/>
    <n v="69200000"/>
    <m/>
    <n v="55000000"/>
  </r>
  <r>
    <n v="557"/>
    <s v="Interview with the Vampire: The Vampire Chronicles"/>
    <n v="40"/>
    <x v="4"/>
    <x v="11"/>
    <n v="10495"/>
    <s v="Antonio Banderas"/>
    <s v="No"/>
    <n v="105163524"/>
    <n v="118300000"/>
    <m/>
    <n v="50000000"/>
  </r>
  <r>
    <n v="558"/>
    <s v="Porky's"/>
    <n v="50"/>
    <x v="1"/>
    <x v="8"/>
    <n v="14920"/>
    <s v="Kim Cattrall"/>
    <s v="No"/>
    <n v="105124546"/>
    <n v="77900000"/>
    <m/>
    <n v="30000000"/>
  </r>
  <r>
    <n v="559"/>
    <s v="Phenomenon"/>
    <n v="10"/>
    <x v="6"/>
    <x v="22"/>
    <n v="14320"/>
    <s v="John Travolta"/>
    <s v="No"/>
    <n v="104632573"/>
    <n v="47400000"/>
    <m/>
    <n v="32000000"/>
  </r>
  <r>
    <n v="560"/>
    <s v="The Princess and the Frog"/>
    <n v="60"/>
    <x v="3"/>
    <x v="0"/>
    <n v="10345"/>
    <s v="Anika Noni Rose"/>
    <s v="No"/>
    <n v="104400899"/>
    <n v="166596479"/>
    <m/>
    <n v="105000000"/>
  </r>
  <r>
    <n v="561"/>
    <s v="The Graduate"/>
    <n v="10"/>
    <x v="6"/>
    <x v="44"/>
    <n v="12325"/>
    <s v="Dustin Hoffman"/>
    <s v="No"/>
    <n v="104397102"/>
    <n v="297154830"/>
    <m/>
    <n v="205000000"/>
  </r>
  <r>
    <n v="562"/>
    <s v="The Chronicles of Narnia: The Voyage of the Dawn Treader"/>
    <n v="40"/>
    <x v="4"/>
    <x v="12"/>
    <n v="19150"/>
    <s v="Will Poulter"/>
    <s v="Yes"/>
    <n v="104386950"/>
    <n v="313800000"/>
    <m/>
    <n v="155000000"/>
  </r>
  <r>
    <n v="563"/>
    <s v="American Wedding"/>
    <n v="10"/>
    <x v="6"/>
    <x v="16"/>
    <n v="15100"/>
    <s v="Lawrence Pressman"/>
    <s v="Yes"/>
    <n v="104354205"/>
    <n v="67040820"/>
    <m/>
    <n v="46000000"/>
  </r>
  <r>
    <n v="564"/>
    <s v="Every Which Way but Loose"/>
    <n v="10"/>
    <x v="6"/>
    <x v="38"/>
    <n v="17620"/>
    <s v="Ruth Gordon"/>
    <s v="No"/>
    <n v="104268727"/>
    <n v="150980157"/>
    <m/>
    <n v="0"/>
  </r>
  <r>
    <n v="565"/>
    <s v="Daddy Day Care"/>
    <n v="10"/>
    <x v="6"/>
    <x v="16"/>
    <n v="12475"/>
    <s v="Elle Fanning"/>
    <s v="No"/>
    <n v="104148781"/>
    <n v="60136806"/>
    <m/>
    <n v="60000000"/>
  </r>
  <r>
    <n v="566"/>
    <s v="The Road to Perdition"/>
    <n v="50"/>
    <x v="1"/>
    <x v="14"/>
    <n v="18760"/>
    <s v="Tom Hanks"/>
    <s v="No"/>
    <n v="104054514"/>
    <n v="79300000"/>
    <m/>
    <n v="80000000"/>
  </r>
  <r>
    <n v="567"/>
    <s v="Paranormal Activity 3"/>
    <n v="40"/>
    <x v="4"/>
    <x v="13"/>
    <n v="12340"/>
    <s v="Dustin Ingram"/>
    <s v="Yes"/>
    <n v="104028807"/>
    <n v="98024579"/>
    <m/>
    <n v="5000000"/>
  </r>
  <r>
    <n v="568"/>
    <s v="Journey 2: The Mysterious Island"/>
    <n v="40"/>
    <x v="4"/>
    <x v="13"/>
    <n v="12355"/>
    <s v="Dwayne Johnson"/>
    <s v="Yes"/>
    <n v="103860290"/>
    <n v="214285872"/>
    <m/>
    <n v="79000000"/>
  </r>
  <r>
    <n v="569"/>
    <s v="Rise of the Guardians"/>
    <n v="60"/>
    <x v="3"/>
    <x v="3"/>
    <n v="11380"/>
    <s v="Chris Pine"/>
    <s v="No"/>
    <n v="103412758"/>
    <n v="203488144"/>
    <m/>
    <n v="145000000"/>
  </r>
  <r>
    <n v="570"/>
    <s v="Dreamgirls"/>
    <n v="50"/>
    <x v="1"/>
    <x v="10"/>
    <n v="17965"/>
    <s v="Sharon Leal"/>
    <s v="No"/>
    <n v="103365956"/>
    <n v="51600000"/>
    <m/>
    <n v="75000000"/>
  </r>
  <r>
    <n v="571"/>
    <s v="The Expendables"/>
    <n v="10"/>
    <x v="6"/>
    <x v="12"/>
    <n v="18385"/>
    <s v="Sylvester Stallone"/>
    <s v="No"/>
    <n v="103068524"/>
    <n v="165199650"/>
    <m/>
    <n v="82000000"/>
  </r>
  <r>
    <n v="572"/>
    <s v="Just Go With It"/>
    <n v="10"/>
    <x v="6"/>
    <x v="12"/>
    <n v="10015"/>
    <s v="Adam Sandler"/>
    <s v="No"/>
    <n v="103028109"/>
    <n v="111946844"/>
    <m/>
    <n v="80000000"/>
  </r>
  <r>
    <n v="573"/>
    <s v="Scream"/>
    <n v="10"/>
    <x v="6"/>
    <x v="22"/>
    <n v="11965"/>
    <s v="David Arquette"/>
    <s v="No"/>
    <n v="103001286"/>
    <n v="70000000"/>
    <m/>
    <n v="15000000"/>
  </r>
  <r>
    <n v="574"/>
    <s v="Jaws 2"/>
    <n v="10"/>
    <x v="6"/>
    <x v="38"/>
    <n v="14770"/>
    <s v="Keith Gordon"/>
    <s v="Yes"/>
    <n v="102922376"/>
    <n v="105978000"/>
    <m/>
    <n v="20000000"/>
  </r>
  <r>
    <n v="575"/>
    <s v="Bambi"/>
    <n v="60"/>
    <x v="3"/>
    <x v="49"/>
    <n v="10000"/>
    <s v="Unidentified"/>
    <s v="No"/>
    <n v="102797000"/>
    <n v="165203000"/>
    <m/>
    <n v="0"/>
  </r>
  <r>
    <n v="576"/>
    <s v="The General's Daughter"/>
    <n v="10"/>
    <x v="6"/>
    <x v="5"/>
    <n v="16915"/>
    <s v="Peter Weireter"/>
    <s v="No"/>
    <n v="102705852"/>
    <n v="47000000"/>
    <m/>
    <n v="60000000"/>
  </r>
  <r>
    <n v="577"/>
    <s v="Driving Miss Daisy"/>
    <n v="50"/>
    <x v="1"/>
    <x v="27"/>
    <n v="16705"/>
    <s v="Patti LuPone"/>
    <s v="No"/>
    <n v="102647257"/>
    <n v="51600000"/>
    <m/>
    <n v="75000000"/>
  </r>
  <r>
    <n v="578"/>
    <s v="The Aviator"/>
    <n v="20"/>
    <x v="5"/>
    <x v="7"/>
    <n v="12700"/>
    <s v="Frances Conroy"/>
    <s v="No"/>
    <n v="102608827"/>
    <n v="105762065"/>
    <m/>
    <n v="110000000"/>
  </r>
  <r>
    <n v="579"/>
    <s v="Daredevil"/>
    <n v="90"/>
    <x v="2"/>
    <x v="16"/>
    <n v="15190"/>
    <s v="Lennie Loftin"/>
    <s v="No"/>
    <n v="102543518"/>
    <n v="80239000"/>
    <m/>
    <n v="80000000"/>
  </r>
  <r>
    <n v="580"/>
    <s v="The Girl with the Dragon Tattoo"/>
    <n v="10"/>
    <x v="6"/>
    <x v="13"/>
    <n v="11830"/>
    <s v="Daniel Craig"/>
    <s v="No"/>
    <n v="102515793"/>
    <n v="136858177"/>
    <m/>
    <n v="90000000"/>
  </r>
  <r>
    <n v="581"/>
    <s v="The Maze Runner"/>
    <n v="80"/>
    <x v="0"/>
    <x v="18"/>
    <n v="12370"/>
    <s v="Dylan O'Brien"/>
    <s v="No"/>
    <n v="102427862"/>
    <n v="243100000"/>
    <m/>
    <n v="34000000"/>
  </r>
  <r>
    <n v="582"/>
    <s v="Butch Cassidy and the Sundance Kid"/>
    <n v="50"/>
    <x v="1"/>
    <x v="50"/>
    <n v="14830"/>
    <s v="Kenneth Mars"/>
    <s v="No"/>
    <n v="102308900"/>
    <n v="107812451"/>
    <m/>
    <n v="37000000"/>
  </r>
  <r>
    <n v="583"/>
    <s v="Mary Poppins"/>
    <n v="40"/>
    <x v="4"/>
    <x v="51"/>
    <n v="14560"/>
    <s v="Julie Andrews"/>
    <s v="No"/>
    <n v="102300000"/>
    <n v="104658260"/>
    <m/>
    <n v="60000000"/>
  </r>
  <r>
    <n v="584"/>
    <s v="The Mummy: Tomb of the Dragon Emperor"/>
    <n v="40"/>
    <x v="4"/>
    <x v="4"/>
    <n v="11035"/>
    <s v="Brendan Fraser"/>
    <s v="Yes"/>
    <n v="102277510"/>
    <n v="303268449"/>
    <m/>
    <n v="175000000"/>
  </r>
  <r>
    <n v="585"/>
    <s v="Jackass Presents: Bad Grandpa"/>
    <n v="30"/>
    <x v="7"/>
    <x v="9"/>
    <n v="14365"/>
    <s v="Johnny Knoxville"/>
    <s v="No"/>
    <n v="102003019"/>
    <n v="58900000"/>
    <m/>
    <n v="15000000"/>
  </r>
  <r>
    <n v="586"/>
    <s v="Pacific Rim"/>
    <n v="80"/>
    <x v="0"/>
    <x v="9"/>
    <n v="12220"/>
    <s v="Diego Klattenhoff"/>
    <s v="No"/>
    <n v="101802906"/>
    <n v="309200000"/>
    <m/>
    <n v="190000000"/>
  </r>
  <r>
    <n v="587"/>
    <s v="American Pie"/>
    <n v="10"/>
    <x v="6"/>
    <x v="5"/>
    <n v="11440"/>
    <s v="Chris Weitz"/>
    <s v="No"/>
    <n v="101800948"/>
    <n v="132922200"/>
    <m/>
    <n v="12000000"/>
  </r>
  <r>
    <n v="588"/>
    <s v="Journey to the Center of the Earth"/>
    <n v="80"/>
    <x v="0"/>
    <x v="4"/>
    <n v="10360"/>
    <s v="Anita Briem"/>
    <s v="No"/>
    <n v="101704370"/>
    <n v="141476567"/>
    <m/>
    <n v="45000000"/>
  </r>
  <r>
    <n v="589"/>
    <s v="Gone in 60 Seconds"/>
    <n v="10"/>
    <x v="6"/>
    <x v="25"/>
    <n v="16465"/>
    <s v="Nicolas Cage"/>
    <s v="No"/>
    <n v="101643008"/>
    <n v="131000000"/>
    <m/>
    <n v="103300000"/>
  </r>
  <r>
    <n v="590"/>
    <s v="The Equalizer"/>
    <n v="10"/>
    <x v="6"/>
    <x v="13"/>
    <n v="12115"/>
    <s v="Denzel Washington"/>
    <s v="No"/>
    <n v="101530738"/>
    <n v="90634545"/>
    <m/>
    <n v="55000000"/>
  </r>
  <r>
    <n v="591"/>
    <s v="This is the End"/>
    <n v="80"/>
    <x v="0"/>
    <x v="9"/>
    <n v="13615"/>
    <s v="James Franco"/>
    <s v="No"/>
    <n v="101470202"/>
    <n v="183615348"/>
    <m/>
    <n v="22000000"/>
  </r>
  <r>
    <n v="592"/>
    <s v="Eagle Eye"/>
    <n v="10"/>
    <x v="6"/>
    <x v="4"/>
    <n v="10465"/>
    <s v="Anthony Azizi"/>
    <s v="No"/>
    <n v="101440743"/>
    <n v="76625826"/>
    <m/>
    <n v="80000000"/>
  </r>
  <r>
    <n v="593"/>
    <s v="Superman II"/>
    <n v="90"/>
    <x v="2"/>
    <x v="28"/>
    <n v="18490"/>
    <s v="Terence Stamp"/>
    <s v="Yes"/>
    <n v="101347629"/>
    <n v="165981982"/>
    <m/>
    <n v="55000000"/>
  </r>
  <r>
    <n v="594"/>
    <s v="Scream 2"/>
    <n v="10"/>
    <x v="6"/>
    <x v="1"/>
    <n v="17815"/>
    <s v="Sarah Michelle Gellar"/>
    <s v="Yes"/>
    <n v="101334374"/>
    <n v="70000000"/>
    <m/>
    <n v="15000000"/>
  </r>
  <r>
    <n v="595"/>
    <s v="Stir Crazy"/>
    <n v="10"/>
    <x v="6"/>
    <x v="23"/>
    <n v="11650"/>
    <s v="Craig T. Nelson"/>
    <s v="No"/>
    <n v="101300000"/>
    <n v="68607617"/>
    <m/>
    <n v="50000000"/>
  </r>
  <r>
    <n v="596"/>
    <s v="Eraser"/>
    <n v="10"/>
    <x v="6"/>
    <x v="22"/>
    <n v="16090"/>
    <s v="Michael Papajohn"/>
    <s v="No"/>
    <n v="101283031"/>
    <n v="133104438"/>
    <m/>
    <n v="100000000"/>
  </r>
  <r>
    <n v="597"/>
    <s v="Indecent Proposal"/>
    <n v="10"/>
    <x v="6"/>
    <x v="15"/>
    <n v="17200"/>
    <s v="Rip Taylor"/>
    <s v="No"/>
    <n v="101268255"/>
    <n v="159985941"/>
    <m/>
    <n v="0"/>
  </r>
  <r>
    <n v="598"/>
    <s v="The Prince of Egypt"/>
    <n v="20"/>
    <x v="5"/>
    <x v="31"/>
    <n v="19000"/>
    <s v="Val Kilmer"/>
    <s v="No"/>
    <n v="101217900"/>
    <n v="117200000"/>
    <m/>
    <n v="60000000"/>
  </r>
  <r>
    <n v="599"/>
    <s v="Noah"/>
    <n v="50"/>
    <x v="1"/>
    <x v="18"/>
    <n v="17605"/>
    <s v="Russell Crowe"/>
    <s v="No"/>
    <n v="101200044"/>
    <n v="251631021"/>
    <m/>
    <n v="130000000"/>
  </r>
  <r>
    <n v="600"/>
    <s v="Con Air"/>
    <n v="10"/>
    <x v="6"/>
    <x v="1"/>
    <n v="11155"/>
    <s v="Carl Ciarfalio"/>
    <s v="No"/>
    <n v="101087161"/>
    <n v="123000000"/>
    <m/>
    <n v="80000000"/>
  </r>
  <r>
    <n v="601"/>
    <s v="Sleepy Hollow"/>
    <n v="50"/>
    <x v="1"/>
    <x v="5"/>
    <n v="14350"/>
    <s v="Johnny Depp"/>
    <s v="No"/>
    <n v="101068340"/>
    <n v="106000000"/>
    <m/>
    <n v="70000000"/>
  </r>
  <r>
    <n v="602"/>
    <s v="The Cat in the Hat"/>
    <n v="40"/>
    <x v="4"/>
    <x v="16"/>
    <n v="12745"/>
    <s v="Frank Welker"/>
    <s v="No"/>
    <n v="101018283"/>
    <n v="32800000"/>
    <m/>
    <n v="109000000"/>
  </r>
  <r>
    <n v="603"/>
    <s v="Maverick"/>
    <n v="50"/>
    <x v="1"/>
    <x v="11"/>
    <n v="11890"/>
    <s v="Danny Glover"/>
    <s v="No"/>
    <n v="100919952"/>
    <n v="81383965"/>
    <m/>
    <n v="0"/>
  </r>
  <r>
    <n v="604"/>
    <s v="Charlie's Angels: Full Throttle"/>
    <n v="10"/>
    <x v="6"/>
    <x v="16"/>
    <n v="10900"/>
    <s v="Bob Stephenson"/>
    <s v="Yes"/>
    <n v="100814328"/>
    <n v="126385672"/>
    <m/>
    <n v="120000000"/>
  </r>
  <r>
    <n v="605"/>
    <s v="Contact"/>
    <n v="80"/>
    <x v="0"/>
    <x v="1"/>
    <n v="17740"/>
    <s v="SaMi Chester"/>
    <s v="No"/>
    <n v="100769177"/>
    <n v="64979671"/>
    <m/>
    <n v="90000000"/>
  </r>
  <r>
    <n v="606"/>
    <s v="The Pelican Brief"/>
    <n v="10"/>
    <x v="6"/>
    <x v="15"/>
    <n v="12115"/>
    <s v="Denzel Washington"/>
    <s v="No"/>
    <n v="100768056"/>
    <n v="87227803"/>
    <m/>
    <n v="45000000"/>
  </r>
  <r>
    <n v="607"/>
    <s v="Vanilla Sky"/>
    <n v="10"/>
    <x v="6"/>
    <x v="20"/>
    <n v="18745"/>
    <s v="Tom Cruise"/>
    <s v="No"/>
    <n v="100614858"/>
    <n v="102111747"/>
    <m/>
    <n v="70000000"/>
  </r>
  <r>
    <n v="608"/>
    <s v="Due Date"/>
    <n v="10"/>
    <x v="6"/>
    <x v="12"/>
    <n v="13735"/>
    <s v="Jamie Foxx"/>
    <s v="No"/>
    <n v="100539043"/>
    <n v="111200000"/>
    <m/>
    <n v="65000000"/>
  </r>
  <r>
    <n v="609"/>
    <s v="The Rugrats Movie"/>
    <n v="60"/>
    <x v="3"/>
    <x v="31"/>
    <n v="14245"/>
    <s v="Joe Alaskey"/>
    <s v="No"/>
    <n v="100491683"/>
    <n v="40400000"/>
    <m/>
    <n v="28000000"/>
  </r>
  <r>
    <n v="610"/>
    <s v="Airport"/>
    <n v="10"/>
    <x v="6"/>
    <x v="48"/>
    <n v="15505"/>
    <s v="Marion Ross"/>
    <s v="No"/>
    <n v="100489150"/>
    <n v="142311944"/>
    <m/>
    <n v="85000000"/>
  </r>
  <r>
    <n v="611"/>
    <s v="Step Brothers"/>
    <n v="10"/>
    <x v="6"/>
    <x v="4"/>
    <n v="19135"/>
    <s v="Will Ferrell"/>
    <s v="No"/>
    <n v="100468793"/>
    <n v="82000000"/>
    <m/>
    <n v="60000000"/>
  </r>
  <r>
    <n v="612"/>
    <s v="Million Dollar Baby"/>
    <n v="10"/>
    <x v="6"/>
    <x v="7"/>
    <n v="13240"/>
    <s v="Hilary Swank"/>
    <s v="No"/>
    <n v="100422786"/>
    <n v="131524199"/>
    <s v="Y"/>
    <n v="30000000"/>
  </r>
  <r>
    <n v="613"/>
    <s v="Nine to Five"/>
    <n v="10"/>
    <x v="6"/>
    <x v="23"/>
    <n v="13750"/>
    <s v="Jane Fonda"/>
    <s v="No"/>
    <n v="100409707"/>
    <n v="68825698"/>
    <m/>
    <n v="0"/>
  </r>
  <r>
    <n v="614"/>
    <s v="Bad Teacher"/>
    <n v="10"/>
    <x v="6"/>
    <x v="13"/>
    <n v="11140"/>
    <s v="Cameron Diaz"/>
    <s v="No"/>
    <n v="100292856"/>
    <n v="115156141"/>
    <m/>
    <n v="19000000"/>
  </r>
  <r>
    <n v="615"/>
    <s v="Evan Almighty"/>
    <n v="40"/>
    <x v="4"/>
    <x v="19"/>
    <n v="13030"/>
    <s v="Graham Phillips"/>
    <s v="Yes"/>
    <n v="100289690"/>
    <n v="73841639"/>
    <m/>
    <n v="175000000"/>
  </r>
  <r>
    <n v="616"/>
    <s v="Yogi Bear"/>
    <n v="60"/>
    <x v="3"/>
    <x v="12"/>
    <n v="10375"/>
    <s v="Anna Faris"/>
    <s v="No"/>
    <n v="100246011"/>
    <n v="104528679"/>
    <m/>
    <n v="80000000"/>
  </r>
  <r>
    <n v="617"/>
    <s v="Shakespeare in Love"/>
    <n v="50"/>
    <x v="1"/>
    <x v="31"/>
    <n v="14455"/>
    <s v="Joseph Fiennes"/>
    <s v="No"/>
    <n v="100241322"/>
    <n v="179182206"/>
    <s v="Y"/>
    <n v="26000000"/>
  </r>
  <r>
    <n v="618"/>
    <s v="Cowboys and Aliens"/>
    <n v="80"/>
    <x v="0"/>
    <x v="13"/>
    <n v="16585"/>
    <s v="Olivia Wilde"/>
    <s v="No"/>
    <n v="100240551"/>
    <n v="75669764"/>
    <m/>
    <n v="163000000"/>
  </r>
  <r>
    <n v="619"/>
    <s v="Casper"/>
    <n v="40"/>
    <x v="4"/>
    <x v="36"/>
    <n v="16345"/>
    <s v="Mr. Rogers"/>
    <s v="No"/>
    <n v="100237375"/>
    <n v="181971806"/>
    <m/>
    <n v="55000000"/>
  </r>
  <r>
    <n v="620"/>
    <s v="Edge of Tomorrow"/>
    <n v="80"/>
    <x v="0"/>
    <x v="13"/>
    <n v="10840"/>
    <s v="Bill Paxton"/>
    <s v="No"/>
    <n v="100206256"/>
    <n v="264200000"/>
    <m/>
    <n v="178000000"/>
  </r>
  <r>
    <n v="621"/>
    <s v="Collateral"/>
    <n v="10"/>
    <x v="6"/>
    <x v="7"/>
    <n v="13330"/>
    <s v="Irma P. Hall"/>
    <s v="No"/>
    <n v="100170152"/>
    <n v="117500000"/>
    <m/>
    <n v="60000000"/>
  </r>
  <r>
    <n v="622"/>
    <s v="The Hunchback of Notre Dame"/>
    <n v="50"/>
    <x v="1"/>
    <x v="22"/>
    <n v="14695"/>
    <s v="Kath Soucie"/>
    <s v="No"/>
    <n v="100117603"/>
    <n v="225361149"/>
    <m/>
    <n v="100000000"/>
  </r>
  <r>
    <n v="623"/>
    <s v="Jumanji"/>
    <n v="40"/>
    <x v="4"/>
    <x v="36"/>
    <n v="10960"/>
    <s v="Bradley Pierce"/>
    <s v="No"/>
    <n v="100109938"/>
    <n v="162300000"/>
    <m/>
    <n v="65000000"/>
  </r>
  <r>
    <n v="624"/>
    <s v="Se7en"/>
    <n v="10"/>
    <x v="6"/>
    <x v="36"/>
    <n v="14575"/>
    <s v="Julie Araskog"/>
    <s v="No"/>
    <n v="100058010"/>
    <n v="228000000"/>
    <m/>
    <n v="30000000"/>
  </r>
  <r>
    <n v="625"/>
    <s v="You Don't Mess With the Zohan"/>
    <n v="10"/>
    <x v="6"/>
    <x v="4"/>
    <n v="10015"/>
    <s v="Adam Sandler"/>
    <s v="No"/>
    <n v="100018837"/>
    <n v="102892154"/>
    <m/>
    <n v="90000000"/>
  </r>
  <r>
    <n v="626"/>
    <s v="In the Line of Fire"/>
    <n v="10"/>
    <x v="6"/>
    <x v="15"/>
    <n v="11155"/>
    <s v="Carl Ciarfalio"/>
    <s v="No"/>
    <n v="100013224"/>
    <n v="85100000"/>
    <m/>
    <n v="0"/>
  </r>
  <r>
    <n v="627"/>
    <s v="Die Hard: With a Vengeance"/>
    <n v="10"/>
    <x v="6"/>
    <x v="36"/>
    <n v="15070"/>
    <s v="Larry Bryggman"/>
    <s v="Yes"/>
    <n v="99983259"/>
    <n v="266089167"/>
    <m/>
    <n v="90000000"/>
  </r>
  <r>
    <n v="628"/>
    <s v="Gnomeo and Juliet"/>
    <n v="40"/>
    <x v="4"/>
    <x v="12"/>
    <n v="13675"/>
    <s v="James McAvoy"/>
    <s v="No"/>
    <n v="99967670"/>
    <n v="93770307"/>
    <m/>
    <n v="36000000"/>
  </r>
  <r>
    <n v="629"/>
    <s v="Unforgiven"/>
    <n v="50"/>
    <x v="1"/>
    <x v="33"/>
    <n v="11605"/>
    <s v="Clint Eastwood"/>
    <s v="No"/>
    <n v="99162710"/>
    <n v="58000000"/>
    <s v="Y"/>
    <n v="14400000"/>
  </r>
  <r>
    <n v="630"/>
    <s v="Dick Tracy"/>
    <n v="90"/>
    <x v="2"/>
    <x v="24"/>
    <n v="17290"/>
    <s v="Robert Costanzo"/>
    <s v="No"/>
    <n v="99098477"/>
    <n v="59000000"/>
    <m/>
    <n v="47000000"/>
  </r>
  <r>
    <n v="631"/>
    <s v="Hercules"/>
    <n v="50"/>
    <x v="1"/>
    <x v="1"/>
    <n v="12055"/>
    <s v="Debi Derryberry"/>
    <s v="No"/>
    <n v="99046791"/>
    <n v="170700000"/>
    <m/>
    <n v="100000000"/>
  </r>
  <r>
    <n v="632"/>
    <s v="Kramer vs. Kramer"/>
    <n v="10"/>
    <x v="6"/>
    <x v="52"/>
    <n v="14215"/>
    <s v="JoBeth Williams"/>
    <s v="No"/>
    <n v="98982763"/>
    <n v="106492683"/>
    <s v="Y"/>
    <n v="50000000"/>
  </r>
  <r>
    <n v="633"/>
    <s v="Olympus Has Fallen"/>
    <n v="10"/>
    <x v="6"/>
    <x v="9"/>
    <n v="12985"/>
    <s v="Gerard Butler"/>
    <s v="No"/>
    <n v="98927592"/>
    <n v="51634572"/>
    <m/>
    <n v="70000000"/>
  </r>
  <r>
    <n v="634"/>
    <s v="Heaven Can Wait"/>
    <n v="40"/>
    <x v="4"/>
    <x v="38"/>
    <n v="11110"/>
    <s v="Buck Henry"/>
    <s v="No"/>
    <n v="98800000"/>
    <n v="120000000"/>
    <m/>
    <n v="0"/>
  </r>
  <r>
    <n v="635"/>
    <s v="The Green Hornet"/>
    <n v="90"/>
    <x v="2"/>
    <x v="12"/>
    <n v="18820"/>
    <s v="Tom Wilkinson"/>
    <s v="No"/>
    <n v="98780042"/>
    <n v="130375461"/>
    <m/>
    <n v="110000000"/>
  </r>
  <r>
    <n v="636"/>
    <s v="Date Night"/>
    <n v="10"/>
    <x v="6"/>
    <x v="12"/>
    <n v="15160"/>
    <s v="Leighton Meester"/>
    <s v="No"/>
    <n v="98711404"/>
    <n v="53557629"/>
    <m/>
    <n v="55000000"/>
  </r>
  <r>
    <n v="637"/>
    <s v="Sleeping with the Enemy"/>
    <n v="10"/>
    <x v="6"/>
    <x v="30"/>
    <n v="14530"/>
    <s v="Julia Roberts"/>
    <s v="No"/>
    <n v="98605973"/>
    <n v="73369937"/>
    <m/>
    <n v="0"/>
  </r>
  <r>
    <n v="638"/>
    <s v="Billy Jack"/>
    <n v="10"/>
    <x v="6"/>
    <x v="53"/>
    <n v="18805"/>
    <s v="Tom Laughlin"/>
    <s v="No"/>
    <n v="98000000"/>
    <n v="66881404"/>
    <m/>
    <n v="40000000"/>
  </r>
  <r>
    <n v="639"/>
    <s v="Meet the Robinsons"/>
    <n v="80"/>
    <x v="0"/>
    <x v="19"/>
    <n v="10315"/>
    <s v="Angela Bassett"/>
    <s v="No"/>
    <n v="97822171"/>
    <n v="72730548"/>
    <m/>
    <n v="0"/>
  </r>
  <r>
    <n v="640"/>
    <s v="Yes Man"/>
    <n v="10"/>
    <x v="6"/>
    <x v="4"/>
    <n v="14155"/>
    <s v="Jim Carrey"/>
    <s v="No"/>
    <n v="97690976"/>
    <n v="128300000"/>
    <m/>
    <n v="50000000"/>
  </r>
  <r>
    <n v="641"/>
    <s v="Inspector Gadget"/>
    <n v="60"/>
    <x v="3"/>
    <x v="5"/>
    <n v="15745"/>
    <s v="Matthew Broderick"/>
    <s v="No"/>
    <n v="97360069"/>
    <n v="78335068"/>
    <m/>
    <n v="5000000"/>
  </r>
  <r>
    <n v="642"/>
    <s v="Public Enemies"/>
    <n v="20"/>
    <x v="5"/>
    <x v="0"/>
    <n v="14350"/>
    <s v="Johnny Depp"/>
    <s v="No"/>
    <n v="97104620"/>
    <n v="115178089"/>
    <m/>
    <n v="102500000"/>
  </r>
  <r>
    <n v="643"/>
    <s v="The Social Network"/>
    <n v="20"/>
    <x v="5"/>
    <x v="12"/>
    <n v="10255"/>
    <s v="Andrew Garfield"/>
    <s v="No"/>
    <n v="96962694"/>
    <n v="127959441"/>
    <m/>
    <n v="40000000"/>
  </r>
  <r>
    <n v="644"/>
    <s v="The Others"/>
    <n v="50"/>
    <x v="1"/>
    <x v="20"/>
    <n v="16495"/>
    <s v="Nicole Kidman"/>
    <s v="No"/>
    <n v="96522687"/>
    <n v="111242369"/>
    <m/>
    <n v="17000000"/>
  </r>
  <r>
    <n v="645"/>
    <s v="Legally Blonde"/>
    <n v="10"/>
    <x v="6"/>
    <x v="20"/>
    <n v="17110"/>
    <s v="Reese Witherspoon"/>
    <s v="No"/>
    <n v="96493426"/>
    <n v="45315809"/>
    <m/>
    <n v="18000000"/>
  </r>
  <r>
    <n v="646"/>
    <s v="Zero Dark Thirty"/>
    <n v="20"/>
    <x v="5"/>
    <x v="3"/>
    <n v="14125"/>
    <s v="Jessica Chastain"/>
    <s v="No"/>
    <n v="95720716"/>
    <n v="38891719"/>
    <m/>
    <n v="52500000"/>
  </r>
  <r>
    <n v="647"/>
    <s v="Cold Mountain"/>
    <n v="50"/>
    <x v="1"/>
    <x v="16"/>
    <n v="17410"/>
    <s v="Robin Mullins"/>
    <s v="No"/>
    <n v="95632614"/>
    <n v="69541295"/>
    <m/>
    <n v="80000000"/>
  </r>
  <r>
    <n v="648"/>
    <s v="Schindler's List"/>
    <n v="20"/>
    <x v="5"/>
    <x v="15"/>
    <n v="17035"/>
    <s v="Ralph Fiennes"/>
    <s v="No"/>
    <n v="95494598"/>
    <n v="225298388"/>
    <s v="Y"/>
    <n v="25000000"/>
  </r>
  <r>
    <n v="649"/>
    <s v="Parenthood"/>
    <n v="10"/>
    <x v="6"/>
    <x v="27"/>
    <n v="14755"/>
    <s v="Keanu Reeves"/>
    <s v="No"/>
    <n v="95369673"/>
    <n v="86196168"/>
    <m/>
    <n v="5000000"/>
  </r>
  <r>
    <n v="650"/>
    <s v="Norbit"/>
    <n v="10"/>
    <x v="6"/>
    <x v="19"/>
    <n v="12400"/>
    <s v="Eddie Murphy"/>
    <s v="No"/>
    <n v="95360247"/>
    <n v="63300000"/>
    <m/>
    <n v="0"/>
  </r>
  <r>
    <n v="651"/>
    <s v="Sex and the City 2"/>
    <n v="10"/>
    <x v="6"/>
    <x v="12"/>
    <n v="17800"/>
    <s v="Sarah Jessica Parker"/>
    <s v="Yes"/>
    <n v="95347692"/>
    <n v="199333086"/>
    <m/>
    <n v="95000000"/>
  </r>
  <r>
    <n v="652"/>
    <s v="Michael"/>
    <n v="10"/>
    <x v="6"/>
    <x v="22"/>
    <n v="14320"/>
    <s v="John Travolta"/>
    <s v="No"/>
    <n v="95345070"/>
    <n v="100339718"/>
    <m/>
    <n v="135000000"/>
  </r>
  <r>
    <n v="653"/>
    <s v="Panic Room"/>
    <n v="10"/>
    <x v="6"/>
    <x v="14"/>
    <n v="14230"/>
    <s v="Jodie Foster"/>
    <s v="No"/>
    <n v="95308367"/>
    <n v="101000000"/>
    <m/>
    <n v="48000000"/>
  </r>
  <r>
    <n v="654"/>
    <s v="The Princess Diaries 2: Royal Engagement"/>
    <n v="10"/>
    <x v="6"/>
    <x v="7"/>
    <n v="14560"/>
    <s v="Julie Andrews"/>
    <s v="Yes"/>
    <n v="95149435"/>
    <n v="57090000"/>
    <m/>
    <n v="30000000"/>
  </r>
  <r>
    <n v="655"/>
    <s v="42"/>
    <n v="20"/>
    <x v="5"/>
    <x v="3"/>
    <n v="16480"/>
    <s v="Nicole Beharie"/>
    <s v="No"/>
    <n v="95020213"/>
    <n v="224200000"/>
    <m/>
    <n v="110000000"/>
  </r>
  <r>
    <n v="656"/>
    <s v="Unbreakable"/>
    <n v="90"/>
    <x v="2"/>
    <x v="25"/>
    <n v="11095"/>
    <s v="Bruce Willis"/>
    <s v="No"/>
    <n v="94999143"/>
    <n v="153100000"/>
    <m/>
    <n v="73243106"/>
  </r>
  <r>
    <n v="657"/>
    <s v="The Book of Eli"/>
    <n v="80"/>
    <x v="0"/>
    <x v="12"/>
    <n v="16030"/>
    <s v="Michael Gambon"/>
    <s v="No"/>
    <n v="94835059"/>
    <n v="63915758"/>
    <m/>
    <n v="80000000"/>
  </r>
  <r>
    <n v="658"/>
    <s v="10,000 B.C."/>
    <n v="50"/>
    <x v="1"/>
    <x v="4"/>
    <n v="11590"/>
    <s v="Cliff Curtis"/>
    <s v="No"/>
    <n v="94784201"/>
    <n v="174281477"/>
    <m/>
    <n v="105000000"/>
  </r>
  <r>
    <n v="659"/>
    <s v="Beverly Hills Chihuahua"/>
    <n v="40"/>
    <x v="4"/>
    <x v="4"/>
    <n v="14440"/>
    <s v="Jose Maria Yazpik"/>
    <s v="No"/>
    <n v="94514402"/>
    <n v="59703766"/>
    <m/>
    <n v="20000000"/>
  </r>
  <r>
    <n v="660"/>
    <s v="Dead Poets' Society"/>
    <n v="10"/>
    <x v="6"/>
    <x v="27"/>
    <n v="17365"/>
    <s v="Robert Sean Leonard"/>
    <s v="No"/>
    <n v="94326915"/>
    <n v="143639884"/>
    <m/>
    <n v="16400000"/>
  </r>
  <r>
    <n v="661"/>
    <s v="Julie &amp; Julia"/>
    <n v="10"/>
    <x v="6"/>
    <x v="0"/>
    <n v="19015"/>
    <s v="Vanessa Ferlito"/>
    <s v="No"/>
    <n v="94125426"/>
    <n v="141476567"/>
    <m/>
    <n v="45000000"/>
  </r>
  <r>
    <n v="662"/>
    <s v="He's Just Not That Into You"/>
    <n v="10"/>
    <x v="6"/>
    <x v="0"/>
    <n v="14980"/>
    <s v="Kris Kristofferson"/>
    <s v="No"/>
    <n v="93953653"/>
    <n v="233103872"/>
    <m/>
    <n v="24000000"/>
  </r>
  <r>
    <n v="663"/>
    <s v="Maid in Manhattan"/>
    <n v="10"/>
    <x v="6"/>
    <x v="14"/>
    <n v="14005"/>
    <s v="Jennifer Lopez"/>
    <s v="No"/>
    <n v="93932896"/>
    <n v="69905321"/>
    <m/>
    <n v="55000000"/>
  </r>
  <r>
    <n v="664"/>
    <s v="Master and Commander: The Far Side of the World"/>
    <n v="50"/>
    <x v="1"/>
    <x v="16"/>
    <n v="17605"/>
    <s v="Russell Crowe"/>
    <s v="No"/>
    <n v="93926386"/>
    <n v="118985751"/>
    <m/>
    <n v="135000000"/>
  </r>
  <r>
    <n v="665"/>
    <s v="Flight"/>
    <n v="10"/>
    <x v="6"/>
    <x v="3"/>
    <n v="12115"/>
    <s v="Denzel Washington"/>
    <s v="No"/>
    <n v="93772375"/>
    <n v="65811783"/>
    <m/>
    <n v="31000000"/>
  </r>
  <r>
    <n v="666"/>
    <s v="The Mask of Zorro"/>
    <n v="50"/>
    <x v="1"/>
    <x v="31"/>
    <n v="10495"/>
    <s v="Antonio Banderas"/>
    <s v="No"/>
    <n v="93771072"/>
    <n v="139871255"/>
    <m/>
    <n v="65000000"/>
  </r>
  <r>
    <n v="667"/>
    <s v="The Fighter"/>
    <n v="20"/>
    <x v="5"/>
    <x v="12"/>
    <n v="10210"/>
    <s v="Amy Adams"/>
    <s v="No"/>
    <n v="93617009"/>
    <n v="200329138"/>
    <m/>
    <n v="95000000"/>
  </r>
  <r>
    <n v="668"/>
    <s v="America's Sweethearts"/>
    <n v="10"/>
    <x v="6"/>
    <x v="20"/>
    <n v="15085"/>
    <s v="Larry King"/>
    <s v="No"/>
    <n v="93607673"/>
    <n v="223868601"/>
    <m/>
    <n v="70000000"/>
  </r>
  <r>
    <n v="669"/>
    <s v="Lady and the Tramp"/>
    <n v="60"/>
    <x v="3"/>
    <x v="54"/>
    <n v="10000"/>
    <s v="Unidentified"/>
    <s v="No"/>
    <n v="93600000"/>
    <n v="55839136"/>
    <m/>
    <n v="3400000"/>
  </r>
  <r>
    <n v="670"/>
    <s v="The Color Purple"/>
    <n v="50"/>
    <x v="1"/>
    <x v="32"/>
    <n v="10045"/>
    <s v="Adolph Caesar"/>
    <s v="No"/>
    <n v="93589701"/>
    <n v="313800000"/>
    <m/>
    <n v="155000000"/>
  </r>
  <r>
    <n v="671"/>
    <s v="The Bucket List"/>
    <n v="10"/>
    <x v="6"/>
    <x v="19"/>
    <n v="17575"/>
    <s v="Rowena King"/>
    <s v="No"/>
    <n v="93466502"/>
    <n v="81344313"/>
    <m/>
    <n v="45000000"/>
  </r>
  <r>
    <n v="672"/>
    <s v="Tomorrowland"/>
    <n v="80"/>
    <x v="0"/>
    <x v="18"/>
    <n v="12925"/>
    <s v="George Clooney"/>
    <s v="No"/>
    <n v="93436322"/>
    <n v="111900000"/>
    <m/>
    <n v="170000000"/>
  </r>
  <r>
    <n v="673"/>
    <s v="Cats &amp; Dogs"/>
    <n v="10"/>
    <x v="6"/>
    <x v="20"/>
    <n v="10870"/>
    <s v="Billy West"/>
    <s v="No"/>
    <n v="93375151"/>
    <n v="107324849"/>
    <m/>
    <n v="60000000"/>
  </r>
  <r>
    <n v="674"/>
    <s v="Two Weeks Notice"/>
    <n v="10"/>
    <x v="6"/>
    <x v="14"/>
    <n v="17770"/>
    <s v="Sandra Bullock"/>
    <s v="No"/>
    <n v="93354918"/>
    <n v="105688391"/>
    <m/>
    <n v="60000000"/>
  </r>
  <r>
    <n v="675"/>
    <s v="The Poseidon Adventure"/>
    <n v="10"/>
    <x v="6"/>
    <x v="45"/>
    <n v="12910"/>
    <s v="Gene Hackman"/>
    <s v="No"/>
    <n v="93300000"/>
    <n v="124100000"/>
    <m/>
    <n v="170000000"/>
  </r>
  <r>
    <n v="676"/>
    <s v="Space Station"/>
    <n v="30"/>
    <x v="7"/>
    <x v="14"/>
    <n v="18745"/>
    <s v="Tom Cruise"/>
    <s v="No"/>
    <n v="93136620"/>
    <n v="159736466"/>
    <m/>
    <n v="80000000"/>
  </r>
  <r>
    <n v="677"/>
    <s v="Elysium"/>
    <n v="80"/>
    <x v="0"/>
    <x v="3"/>
    <n v="19090"/>
    <s v="Wagner Moura"/>
    <s v="No"/>
    <n v="93050117"/>
    <n v="193141974"/>
    <m/>
    <n v="120000000"/>
  </r>
  <r>
    <n v="678"/>
    <s v="Flubber"/>
    <n v="60"/>
    <x v="3"/>
    <x v="1"/>
    <n v="11500"/>
    <s v="Christopher McDonald"/>
    <s v="No"/>
    <n v="92969824"/>
    <n v="85000000"/>
    <m/>
    <n v="80000000"/>
  </r>
  <r>
    <n v="679"/>
    <s v="Red Dragon"/>
    <n v="10"/>
    <x v="6"/>
    <x v="14"/>
    <n v="10480"/>
    <s v="Anthony Hopkins"/>
    <s v="No"/>
    <n v="92955420"/>
    <n v="113500000"/>
    <m/>
    <n v="78000000"/>
  </r>
  <r>
    <n v="680"/>
    <s v="The Town"/>
    <n v="10"/>
    <x v="6"/>
    <x v="12"/>
    <n v="10630"/>
    <s v="Ben Affleck"/>
    <s v="No"/>
    <n v="92186262"/>
    <n v="60380619"/>
    <m/>
    <n v="37000000"/>
  </r>
  <r>
    <n v="681"/>
    <s v="The Client"/>
    <n v="10"/>
    <x v="6"/>
    <x v="11"/>
    <n v="19210"/>
    <s v="William Sanderson"/>
    <s v="No"/>
    <n v="92112663"/>
    <n v="313800000"/>
    <m/>
    <n v="155000000"/>
  </r>
  <r>
    <n v="682"/>
    <s v="Star Trek: First Contact"/>
    <n v="80"/>
    <x v="0"/>
    <x v="22"/>
    <n v="16660"/>
    <s v="Patrick Stewart"/>
    <s v="Yes"/>
    <n v="91968563"/>
    <n v="57972112"/>
    <m/>
    <n v="46000000"/>
  </r>
  <r>
    <n v="683"/>
    <s v="When Harry Met Sally…"/>
    <n v="10"/>
    <x v="6"/>
    <x v="27"/>
    <n v="10855"/>
    <s v="Billy Crystal"/>
    <s v="No"/>
    <n v="91744616"/>
    <n v="191300000"/>
    <m/>
    <n v="65000000"/>
  </r>
  <r>
    <n v="684"/>
    <s v="Non-Stop"/>
    <n v="10"/>
    <x v="6"/>
    <x v="9"/>
    <n v="15265"/>
    <s v="Liam Neeson"/>
    <s v="No"/>
    <n v="91742160"/>
    <n v="121000000"/>
    <m/>
    <n v="50000000"/>
  </r>
  <r>
    <n v="685"/>
    <s v="Think Like a Man"/>
    <n v="10"/>
    <x v="6"/>
    <x v="3"/>
    <n v="16015"/>
    <s v="Michael Ealy"/>
    <s v="No"/>
    <n v="91547205"/>
    <n v="183615348"/>
    <m/>
    <n v="22000000"/>
  </r>
  <r>
    <n v="686"/>
    <s v="Heaven is for Real"/>
    <n v="20"/>
    <x v="5"/>
    <x v="9"/>
    <n v="13060"/>
    <s v="Greg Kinnear"/>
    <s v="No"/>
    <n v="91386097"/>
    <n v="120000000"/>
    <m/>
    <n v="0"/>
  </r>
  <r>
    <n v="687"/>
    <s v="Crimson Tide"/>
    <n v="10"/>
    <x v="6"/>
    <x v="36"/>
    <n v="15295"/>
    <s v="Lilo Brancato"/>
    <s v="No"/>
    <n v="91381194"/>
    <n v="68000000"/>
    <m/>
    <n v="55000000"/>
  </r>
  <r>
    <n v="688"/>
    <s v="The Haunting"/>
    <n v="10"/>
    <x v="6"/>
    <x v="5"/>
    <n v="12055"/>
    <s v="Debi Derryberry"/>
    <s v="No"/>
    <n v="91188905"/>
    <n v="89000000"/>
    <m/>
    <n v="80000000"/>
  </r>
  <r>
    <n v="689"/>
    <s v="The Imitation Game"/>
    <n v="20"/>
    <x v="5"/>
    <x v="18"/>
    <n v="10675"/>
    <s v="Benedict Cumberbatch"/>
    <s v="No"/>
    <n v="91125143"/>
    <n v="136648543"/>
    <m/>
    <n v="15000000"/>
  </r>
  <r>
    <n v="690"/>
    <s v="Save the Last Dance"/>
    <n v="10"/>
    <x v="6"/>
    <x v="20"/>
    <n v="14545"/>
    <s v="Julia Stiles"/>
    <s v="No"/>
    <n v="91038276"/>
    <n v="142913876"/>
    <m/>
    <n v="0"/>
  </r>
  <r>
    <n v="691"/>
    <s v="Stepmom"/>
    <n v="10"/>
    <x v="6"/>
    <x v="31"/>
    <n v="14530"/>
    <s v="Julia Roberts"/>
    <s v="No"/>
    <n v="91030827"/>
    <n v="68607617"/>
    <m/>
    <n v="50000000"/>
  </r>
  <r>
    <n v="692"/>
    <s v="The Karate Kid"/>
    <n v="10"/>
    <x v="6"/>
    <x v="29"/>
    <n v="19180"/>
    <s v="William Bassett"/>
    <s v="No"/>
    <n v="90815558"/>
    <n v="175183320"/>
    <m/>
    <n v="40000000"/>
  </r>
  <r>
    <n v="693"/>
    <s v="Prince of Persia: Sands of Time"/>
    <n v="40"/>
    <x v="4"/>
    <x v="12"/>
    <n v="18280"/>
    <s v="Steve Toussaint"/>
    <s v="No"/>
    <n v="90759676"/>
    <n v="223834921"/>
    <m/>
    <n v="200000000"/>
  </r>
  <r>
    <n v="694"/>
    <s v="Scary Movie 4"/>
    <n v="10"/>
    <x v="6"/>
    <x v="10"/>
    <n v="10375"/>
    <s v="Anna Faris"/>
    <s v="Yes"/>
    <n v="90710620"/>
    <n v="88000000"/>
    <m/>
    <n v="40000000"/>
  </r>
  <r>
    <n v="695"/>
    <s v="The Game Plan"/>
    <n v="10"/>
    <x v="6"/>
    <x v="19"/>
    <n v="13540"/>
    <s v="Jamal Duff"/>
    <s v="No"/>
    <n v="90648202"/>
    <n v="55942785"/>
    <m/>
    <n v="22000000"/>
  </r>
  <r>
    <n v="696"/>
    <s v="Antz"/>
    <n v="60"/>
    <x v="3"/>
    <x v="31"/>
    <n v="16750"/>
    <s v="Paul Mazursky"/>
    <s v="No"/>
    <n v="90646554"/>
    <n v="61700000"/>
    <m/>
    <n v="60000000"/>
  </r>
  <r>
    <n v="697"/>
    <s v="The Scorpion King"/>
    <n v="40"/>
    <x v="4"/>
    <x v="14"/>
    <n v="12355"/>
    <s v="Dwayne Johnson"/>
    <s v="No"/>
    <n v="90580000"/>
    <n v="75310634"/>
    <m/>
    <n v="60000000"/>
  </r>
  <r>
    <n v="698"/>
    <s v="Me, Myself &amp; Irene"/>
    <n v="10"/>
    <x v="6"/>
    <x v="25"/>
    <n v="14155"/>
    <s v="Jim Carrey"/>
    <s v="No"/>
    <n v="90570999"/>
    <n v="58700000"/>
    <m/>
    <n v="51000000"/>
  </r>
  <r>
    <n v="699"/>
    <s v="High School Musical 3: Senior Year"/>
    <n v="10"/>
    <x v="6"/>
    <x v="4"/>
    <n v="13945"/>
    <s v="Jemma McKenzie-Brown"/>
    <s v="Yes"/>
    <n v="90559416"/>
    <n v="183833464"/>
    <m/>
    <n v="11000000"/>
  </r>
  <r>
    <n v="700"/>
    <s v="Madea Goes To Jail"/>
    <n v="10"/>
    <x v="6"/>
    <x v="0"/>
    <n v="18970"/>
    <s v="Tyler Perry"/>
    <s v="No"/>
    <n v="90508336"/>
    <n v="419505894"/>
    <m/>
    <n v="150000000"/>
  </r>
  <r>
    <n v="701"/>
    <s v="Flashdance"/>
    <n v="10"/>
    <x v="6"/>
    <x v="21"/>
    <n v="13975"/>
    <s v="Jennifer Beals"/>
    <s v="No"/>
    <n v="90463574"/>
    <n v="111000000"/>
    <m/>
    <n v="7000000"/>
  </r>
  <r>
    <n v="702"/>
    <s v="Space Cowboys"/>
    <n v="80"/>
    <x v="0"/>
    <x v="25"/>
    <n v="11605"/>
    <s v="Clint Eastwood"/>
    <s v="No"/>
    <n v="90454043"/>
    <n v="85716272"/>
    <m/>
    <n v="32000000"/>
  </r>
  <r>
    <n v="703"/>
    <s v="Space Jam"/>
    <n v="60"/>
    <x v="3"/>
    <x v="22"/>
    <n v="11875"/>
    <s v="Danny De Vito"/>
    <s v="No"/>
    <n v="90443603"/>
    <n v="159736466"/>
    <m/>
    <n v="80000000"/>
  </r>
  <r>
    <n v="704"/>
    <s v="Get Hard"/>
    <n v="10"/>
    <x v="6"/>
    <x v="2"/>
    <n v="19135"/>
    <s v="Will Ferrell"/>
    <s v="No"/>
    <n v="90411453"/>
    <n v="173381071"/>
    <m/>
    <n v="150000000"/>
  </r>
  <r>
    <n v="705"/>
    <s v="Red"/>
    <n v="10"/>
    <x v="6"/>
    <x v="12"/>
    <n v="11095"/>
    <s v="Bruce Willis"/>
    <s v="No"/>
    <n v="90380162"/>
    <n v="106059531"/>
    <m/>
    <n v="60000000"/>
  </r>
  <r>
    <n v="706"/>
    <s v="Disney Planes"/>
    <n v="60"/>
    <x v="3"/>
    <x v="9"/>
    <n v="18145"/>
    <s v="Stacy Keach"/>
    <s v="No"/>
    <n v="90282580"/>
    <n v="129500000"/>
    <m/>
    <n v="50000000"/>
  </r>
  <r>
    <n v="707"/>
    <s v="Legally Blonde 2: Red, White &amp; Blonde"/>
    <n v="10"/>
    <x v="6"/>
    <x v="16"/>
    <n v="17110"/>
    <s v="Reese Witherspoon"/>
    <s v="Yes"/>
    <n v="90168825"/>
    <n v="45315809"/>
    <m/>
    <n v="18000000"/>
  </r>
  <r>
    <n v="708"/>
    <s v="Mystic River"/>
    <n v="10"/>
    <x v="6"/>
    <x v="16"/>
    <n v="17890"/>
    <s v="Sean Penn"/>
    <s v="No"/>
    <n v="90135191"/>
    <n v="66686829"/>
    <m/>
    <n v="30000000"/>
  </r>
  <r>
    <n v="709"/>
    <s v="Terminator: Genisys"/>
    <n v="80"/>
    <x v="0"/>
    <x v="2"/>
    <n v="10525"/>
    <s v="Arnold Schwarzenegger"/>
    <s v="Yes"/>
    <n v="89760956"/>
    <n v="350400000"/>
    <m/>
    <n v="155000000"/>
  </r>
  <r>
    <n v="710"/>
    <s v="Flightplan"/>
    <n v="10"/>
    <x v="6"/>
    <x v="17"/>
    <n v="16045"/>
    <s v="Michael Irby"/>
    <s v="No"/>
    <n v="89706988"/>
    <n v="124685916"/>
    <m/>
    <n v="55000000"/>
  </r>
  <r>
    <n v="711"/>
    <s v="Father of the Bride"/>
    <n v="10"/>
    <x v="6"/>
    <x v="30"/>
    <n v="16900"/>
    <s v="Peter Michael Goetz"/>
    <s v="No"/>
    <n v="89325780"/>
    <n v="163454307"/>
    <m/>
    <n v="14000000"/>
  </r>
  <r>
    <n v="712"/>
    <s v="The Emperor's New Groove"/>
    <n v="60"/>
    <x v="3"/>
    <x v="25"/>
    <n v="12415"/>
    <s v="Eli Russell Linnetz"/>
    <s v="No"/>
    <n v="89296573"/>
    <n v="80000000"/>
    <m/>
    <n v="100000000"/>
  </r>
  <r>
    <n v="713"/>
    <s v="The Lone Ranger"/>
    <n v="50"/>
    <x v="1"/>
    <x v="9"/>
    <n v="14350"/>
    <s v="Johnny Depp"/>
    <s v="No"/>
    <n v="89289910"/>
    <n v="170700000"/>
    <m/>
    <n v="275000000"/>
  </r>
  <r>
    <n v="714"/>
    <s v="Taken 3"/>
    <n v="10"/>
    <x v="6"/>
    <x v="2"/>
    <n v="15265"/>
    <s v="Liam Neeson"/>
    <s v="Yes"/>
    <n v="89256424"/>
    <n v="238400000"/>
    <m/>
    <n v="48000000"/>
  </r>
  <r>
    <n v="715"/>
    <s v="Scream 3"/>
    <n v="10"/>
    <x v="6"/>
    <x v="25"/>
    <n v="11965"/>
    <s v="David Arquette"/>
    <s v="Yes"/>
    <n v="89138076"/>
    <n v="72700000"/>
    <m/>
    <n v="40000000"/>
  </r>
  <r>
    <n v="716"/>
    <s v="Oblivion"/>
    <n v="80"/>
    <x v="0"/>
    <x v="3"/>
    <n v="18745"/>
    <s v="Tom Cruise"/>
    <s v="No"/>
    <n v="89107235"/>
    <n v="198809398"/>
    <m/>
    <n v="120000000"/>
  </r>
  <r>
    <n v="717"/>
    <s v="The Trial of Billy Jack"/>
    <n v="10"/>
    <x v="6"/>
    <x v="46"/>
    <n v="10000"/>
    <s v="Unidentified"/>
    <s v="No"/>
    <n v="89000000"/>
    <n v="60380619"/>
    <m/>
    <n v="37000000"/>
  </r>
  <r>
    <n v="718"/>
    <s v="The Ugly Truth"/>
    <n v="10"/>
    <x v="6"/>
    <x v="0"/>
    <n v="14710"/>
    <s v="Katherine Heigl"/>
    <s v="No"/>
    <n v="88915214"/>
    <n v="116383693"/>
    <m/>
    <n v="38000000"/>
  </r>
  <r>
    <n v="719"/>
    <s v="Kindergarten Cop"/>
    <n v="10"/>
    <x v="6"/>
    <x v="24"/>
    <n v="16570"/>
    <s v="Odette Yustman"/>
    <s v="No"/>
    <n v="88846113"/>
    <n v="110542312"/>
    <m/>
    <n v="26000000"/>
  </r>
  <r>
    <n v="720"/>
    <s v="Percy Jackson &amp; the Olympians: The Lightning Thief"/>
    <n v="40"/>
    <x v="4"/>
    <x v="12"/>
    <n v="16975"/>
    <s v="Pierce Brosnan"/>
    <s v="No"/>
    <n v="88768303"/>
    <n v="134282571"/>
    <m/>
    <n v="95000000"/>
  </r>
  <r>
    <n v="721"/>
    <s v="Failure to Launch"/>
    <n v="10"/>
    <x v="6"/>
    <x v="10"/>
    <n v="16720"/>
    <s v="Patton Oswalt"/>
    <s v="No"/>
    <n v="88715192"/>
    <n v="102034442"/>
    <m/>
    <n v="6000000"/>
  </r>
  <r>
    <n v="722"/>
    <s v="The Muppets"/>
    <n v="60"/>
    <x v="3"/>
    <x v="13"/>
    <n v="13840"/>
    <s v="Jason Segel"/>
    <s v="Yes"/>
    <n v="88625922"/>
    <n v="72346000"/>
    <m/>
    <n v="45000000"/>
  </r>
  <r>
    <n v="723"/>
    <s v="Trading Places"/>
    <n v="10"/>
    <x v="6"/>
    <x v="21"/>
    <n v="11770"/>
    <s v="Dan Aykroyd"/>
    <s v="No"/>
    <n v="88621914"/>
    <n v="654813349"/>
    <m/>
    <n v="200000000"/>
  </r>
  <r>
    <n v="724"/>
    <s v="Inside Man"/>
    <n v="10"/>
    <x v="6"/>
    <x v="10"/>
    <n v="12115"/>
    <s v="Denzel Washington"/>
    <s v="No"/>
    <n v="88513495"/>
    <n v="97164028"/>
    <m/>
    <n v="50000000"/>
  </r>
  <r>
    <n v="725"/>
    <s v="Waterworld"/>
    <n v="80"/>
    <x v="0"/>
    <x v="36"/>
    <n v="14875"/>
    <s v="Kevin Costner"/>
    <s v="No"/>
    <n v="88214660"/>
    <n v="176000000"/>
    <m/>
    <n v="175000000"/>
  </r>
  <r>
    <n v="726"/>
    <s v="Starsky &amp; Hutch"/>
    <n v="50"/>
    <x v="1"/>
    <x v="7"/>
    <n v="10660"/>
    <s v="Ben Stiller"/>
    <s v="No"/>
    <n v="88200225"/>
    <n v="82000000"/>
    <m/>
    <n v="60000000"/>
  </r>
  <r>
    <n v="727"/>
    <s v="Along Came Polly"/>
    <n v="10"/>
    <x v="6"/>
    <x v="7"/>
    <n v="14890"/>
    <s v="Kevin Hart"/>
    <s v="No"/>
    <n v="88073507"/>
    <n v="84970903"/>
    <m/>
    <n v="42000000"/>
  </r>
  <r>
    <n v="728"/>
    <s v="The Hand That Rocks the Cradle"/>
    <n v="10"/>
    <x v="6"/>
    <x v="33"/>
    <n v="15730"/>
    <s v="Matt McCoy"/>
    <s v="No"/>
    <n v="88036683"/>
    <n v="76921753"/>
    <m/>
    <n v="10000000"/>
  </r>
  <r>
    <n v="729"/>
    <s v="Entrapment"/>
    <n v="10"/>
    <x v="6"/>
    <x v="5"/>
    <n v="17485"/>
    <s v="Rolf Saxon"/>
    <s v="No"/>
    <n v="87707396"/>
    <n v="123992604"/>
    <m/>
    <n v="66000000"/>
  </r>
  <r>
    <n v="730"/>
    <s v="Back to the Future Part III"/>
    <n v="80"/>
    <x v="0"/>
    <x v="24"/>
    <n v="15655"/>
    <s v="Matt Clark"/>
    <s v="Yes"/>
    <n v="87666629"/>
    <n v="156033371"/>
    <m/>
    <n v="40000000"/>
  </r>
  <r>
    <n v="731"/>
    <s v="Peter Pan"/>
    <n v="40"/>
    <x v="4"/>
    <x v="55"/>
    <n v="10000"/>
    <s v="Unidentified"/>
    <s v="No"/>
    <n v="87400000"/>
    <n v="131380170"/>
    <m/>
    <n v="63700000"/>
  </r>
  <r>
    <n v="732"/>
    <s v="The Pineapple Express"/>
    <n v="10"/>
    <x v="6"/>
    <x v="4"/>
    <n v="13615"/>
    <s v="James Franco"/>
    <s v="No"/>
    <n v="87341380"/>
    <n v="107000000"/>
    <m/>
    <n v="55000000"/>
  </r>
  <r>
    <n v="733"/>
    <s v="Everest"/>
    <n v="30"/>
    <x v="7"/>
    <x v="31"/>
    <n v="15265"/>
    <s v="Liam Neeson"/>
    <s v="No"/>
    <n v="87178599"/>
    <n v="150980157"/>
    <m/>
    <n v="0"/>
  </r>
  <r>
    <n v="734"/>
    <s v="Saw II"/>
    <n v="10"/>
    <x v="6"/>
    <x v="17"/>
    <n v="18025"/>
    <s v="Shawnee Smith"/>
    <s v="Yes"/>
    <n v="87025093"/>
    <n v="65900000"/>
    <m/>
    <n v="5000000"/>
  </r>
  <r>
    <n v="735"/>
    <s v="The Campaign"/>
    <n v="10"/>
    <x v="6"/>
    <x v="13"/>
    <n v="19135"/>
    <s v="Will Ferrell"/>
    <s v="No"/>
    <n v="86907746"/>
    <n v="81344313"/>
    <m/>
    <n v="45000000"/>
  </r>
  <r>
    <n v="736"/>
    <s v="Back to School"/>
    <n v="10"/>
    <x v="6"/>
    <x v="39"/>
    <n v="10075"/>
    <s v="Adrienne Barbeau"/>
    <s v="No"/>
    <n v="86611121"/>
    <n v="97818375"/>
    <m/>
    <n v="20000000"/>
  </r>
  <r>
    <n v="737"/>
    <s v="To Fly!"/>
    <n v="10"/>
    <x v="6"/>
    <x v="47"/>
    <n v="12490"/>
    <s v="Ellen Bry"/>
    <s v="No"/>
    <n v="86600000"/>
    <n v="1548943366"/>
    <m/>
    <n v="200000000"/>
  </r>
  <r>
    <n v="738"/>
    <s v="The Amityville Horror"/>
    <n v="10"/>
    <x v="6"/>
    <x v="52"/>
    <n v="13705"/>
    <s v="James Tolkan"/>
    <s v="No"/>
    <n v="86432520"/>
    <n v="100019072"/>
    <m/>
    <n v="110000000"/>
  </r>
  <r>
    <n v="739"/>
    <s v="Young Frankenstein"/>
    <n v="80"/>
    <x v="0"/>
    <x v="46"/>
    <n v="12910"/>
    <s v="Gene Hackman"/>
    <s v="No"/>
    <n v="86300000"/>
    <n v="134978505"/>
    <m/>
    <n v="65000000"/>
  </r>
  <r>
    <n v="740"/>
    <s v="Dumb and Dumber To"/>
    <n v="10"/>
    <x v="6"/>
    <x v="18"/>
    <n v="14155"/>
    <s v="Jim Carrey"/>
    <s v="Yes"/>
    <n v="86208010"/>
    <n v="55000000"/>
    <m/>
    <n v="40000000"/>
  </r>
  <r>
    <n v="741"/>
    <s v="Mean Girls"/>
    <n v="10"/>
    <x v="6"/>
    <x v="7"/>
    <n v="15325"/>
    <s v="Lindsay Lohan"/>
    <s v="No"/>
    <n v="86047227"/>
    <n v="58700000"/>
    <m/>
    <n v="51000000"/>
  </r>
  <r>
    <n v="742"/>
    <s v="Annie"/>
    <n v="10"/>
    <x v="6"/>
    <x v="18"/>
    <n v="16990"/>
    <s v="Quvenzhané Wallis"/>
    <s v="No"/>
    <n v="85911262"/>
    <n v="53929263"/>
    <m/>
    <n v="65000000"/>
  </r>
  <r>
    <n v="743"/>
    <s v="Spy Kids 2: The Island of Lost Dreams"/>
    <n v="60"/>
    <x v="3"/>
    <x v="14"/>
    <n v="10495"/>
    <s v="Antonio Banderas"/>
    <s v="Yes"/>
    <n v="85846296"/>
    <n v="85000000"/>
    <m/>
    <n v="35000000"/>
  </r>
  <r>
    <n v="744"/>
    <s v="Fury"/>
    <n v="50"/>
    <x v="1"/>
    <x v="18"/>
    <n v="10930"/>
    <s v="Brad Pitt"/>
    <s v="No"/>
    <n v="85755593"/>
    <n v="126000000"/>
    <m/>
    <n v="80000000"/>
  </r>
  <r>
    <n v="745"/>
    <s v="The Naked Gun 2½: The Smell of Fear"/>
    <n v="10"/>
    <x v="6"/>
    <x v="30"/>
    <n v="15220"/>
    <s v="Leslie Nielsen"/>
    <s v="Yes"/>
    <n v="85748264"/>
    <n v="72346000"/>
    <m/>
    <n v="45000000"/>
  </r>
  <r>
    <n v="746"/>
    <s v="Pokemon: The First Movie"/>
    <n v="60"/>
    <x v="3"/>
    <x v="5"/>
    <n v="19045"/>
    <s v="Veronica Taylor"/>
    <s v="No"/>
    <n v="85744662"/>
    <n v="77900000"/>
    <m/>
    <n v="30000000"/>
  </r>
  <r>
    <n v="747"/>
    <s v="Real Steel"/>
    <n v="80"/>
    <x v="0"/>
    <x v="12"/>
    <n v="13270"/>
    <s v="Hugh Jackman"/>
    <s v="No"/>
    <n v="85463309"/>
    <n v="178417032"/>
    <m/>
    <n v="110000000"/>
  </r>
  <r>
    <n v="748"/>
    <s v="SpongeBob SquarePants: The Movie"/>
    <n v="60"/>
    <x v="3"/>
    <x v="7"/>
    <n v="18790"/>
    <s v="Tom Kenny"/>
    <s v="No"/>
    <n v="85416609"/>
    <n v="56634646"/>
    <m/>
    <n v="30000000"/>
  </r>
  <r>
    <n v="749"/>
    <s v="Brother Bear"/>
    <n v="60"/>
    <x v="3"/>
    <x v="16"/>
    <n v="10780"/>
    <s v="Bill Farmer"/>
    <s v="No"/>
    <n v="85336277"/>
    <n v="165061521"/>
    <m/>
    <n v="0"/>
  </r>
  <r>
    <n v="750"/>
    <s v="Rocky 2"/>
    <n v="10"/>
    <x v="6"/>
    <x v="52"/>
    <n v="18385"/>
    <s v="Sylvester Stallone"/>
    <s v="Yes"/>
    <n v="85182160"/>
    <n v="115000000"/>
    <m/>
    <n v="0"/>
  </r>
  <r>
    <n v="751"/>
    <s v="Aliens"/>
    <n v="80"/>
    <x v="0"/>
    <x v="39"/>
    <n v="10090"/>
    <s v="Al Matthews"/>
    <s v="Yes"/>
    <n v="85160248"/>
    <n v="98156207"/>
    <m/>
    <n v="17000000"/>
  </r>
  <r>
    <n v="752"/>
    <s v="The Expendables 2"/>
    <n v="10"/>
    <x v="6"/>
    <x v="3"/>
    <n v="18385"/>
    <s v="Sylvester Stallone"/>
    <s v="Yes"/>
    <n v="85028192"/>
    <n v="226951064"/>
    <m/>
    <n v="100000000"/>
  </r>
  <r>
    <n v="753"/>
    <s v="Cinderella"/>
    <n v="40"/>
    <x v="4"/>
    <x v="56"/>
    <n v="10000"/>
    <s v="Unidentified"/>
    <s v="No"/>
    <n v="85000000"/>
    <n v="178591415"/>
    <m/>
    <n v="2900000"/>
  </r>
  <r>
    <n v="754"/>
    <s v="Dangerous Minds"/>
    <n v="10"/>
    <x v="6"/>
    <x v="36"/>
    <n v="12940"/>
    <s v="George Dzundza"/>
    <s v="No"/>
    <n v="84778149"/>
    <n v="94000000"/>
    <m/>
    <n v="0"/>
  </r>
  <r>
    <n v="755"/>
    <s v="Paranormal Activity 2"/>
    <n v="40"/>
    <x v="4"/>
    <x v="12"/>
    <n v="14725"/>
    <s v="Katie Featherston"/>
    <s v="Yes"/>
    <n v="84752907"/>
    <n v="92759125"/>
    <m/>
    <n v="3000000"/>
  </r>
  <r>
    <n v="756"/>
    <s v="Tammy"/>
    <n v="10"/>
    <x v="6"/>
    <x v="18"/>
    <n v="15895"/>
    <s v="Melissa McCarthy"/>
    <s v="No"/>
    <n v="84525432"/>
    <n v="14657148"/>
    <m/>
    <n v="73000000"/>
  </r>
  <r>
    <n v="757"/>
    <s v="The Santa Clause 3: The Escape Clause"/>
    <n v="60"/>
    <x v="3"/>
    <x v="10"/>
    <n v="18580"/>
    <s v="Tim Allen"/>
    <s v="Yes"/>
    <n v="84500122"/>
    <n v="33600000"/>
    <m/>
    <n v="65000000"/>
  </r>
  <r>
    <n v="758"/>
    <s v="The Peanuts Movie"/>
    <n v="60"/>
    <x v="3"/>
    <x v="2"/>
    <n v="16510"/>
    <s v="Noah Schnapp"/>
    <s v="No"/>
    <n v="84395073"/>
    <n v="101969658"/>
    <m/>
    <n v="110000000"/>
  </r>
  <r>
    <n v="759"/>
    <s v="Crazy, Stupid, Love"/>
    <n v="10"/>
    <x v="6"/>
    <x v="12"/>
    <n v="18205"/>
    <s v="Steve Carell"/>
    <s v="No"/>
    <n v="84351197"/>
    <n v="62791131"/>
    <m/>
    <n v="50000000"/>
  </r>
  <r>
    <n v="760"/>
    <s v="Open Season"/>
    <n v="60"/>
    <x v="3"/>
    <x v="10"/>
    <n v="15625"/>
    <s v="Martin Lawrence"/>
    <s v="No"/>
    <n v="84325668"/>
    <n v="106826899"/>
    <m/>
    <n v="85000000"/>
  </r>
  <r>
    <n v="761"/>
    <s v="Pinocchio"/>
    <n v="60"/>
    <x v="3"/>
    <x v="57"/>
    <n v="10000"/>
    <s v="Unidentified"/>
    <s v="No"/>
    <n v="84300000"/>
    <n v="124000000"/>
    <m/>
    <n v="26000000"/>
  </r>
  <r>
    <n v="762"/>
    <s v="Annabelle"/>
    <n v="40"/>
    <x v="4"/>
    <x v="18"/>
    <n v="10420"/>
    <s v="Annabelle Wallis"/>
    <s v="No"/>
    <n v="84273813"/>
    <n v="166400000"/>
    <m/>
    <n v="6500000"/>
  </r>
  <r>
    <n v="763"/>
    <s v="Scooby-Doo 2: Monsters Unleashed"/>
    <n v="60"/>
    <x v="3"/>
    <x v="7"/>
    <n v="12820"/>
    <s v="Freddie Prinze, Jr."/>
    <s v="Yes"/>
    <n v="84185387"/>
    <n v="97000000"/>
    <m/>
    <n v="25000000"/>
  </r>
  <r>
    <n v="764"/>
    <s v="Anchorman: The Legend of Ron Burgundy"/>
    <n v="50"/>
    <x v="1"/>
    <x v="7"/>
    <n v="12385"/>
    <s v="Dylan Walsh"/>
    <s v="No"/>
    <n v="84136909"/>
    <n v="44833047"/>
    <m/>
    <n v="50000000"/>
  </r>
  <r>
    <n v="765"/>
    <s v="Atlantis: The Lost Empire"/>
    <n v="60"/>
    <x v="3"/>
    <x v="20"/>
    <n v="11665"/>
    <s v="Cree Summer"/>
    <s v="No"/>
    <n v="84052762"/>
    <n v="101996258"/>
    <m/>
    <n v="90000000"/>
  </r>
  <r>
    <n v="766"/>
    <s v="Cliffhanger"/>
    <n v="10"/>
    <x v="6"/>
    <x v="15"/>
    <n v="15820"/>
    <s v="Max Perlich"/>
    <s v="No"/>
    <n v="84049211"/>
    <n v="170950789"/>
    <m/>
    <n v="65000000"/>
  </r>
  <r>
    <n v="767"/>
    <s v="The Other Woman"/>
    <n v="10"/>
    <x v="6"/>
    <x v="18"/>
    <n v="11140"/>
    <s v="Cameron Diaz"/>
    <s v="No"/>
    <n v="83911193"/>
    <n v="111200000"/>
    <m/>
    <n v="40000000"/>
  </r>
  <r>
    <n v="768"/>
    <s v="The X Files: Fight the Future"/>
    <n v="80"/>
    <x v="0"/>
    <x v="31"/>
    <n v="11995"/>
    <s v="David Duchovny"/>
    <s v="No"/>
    <n v="83826398"/>
    <n v="105278110"/>
    <m/>
    <n v="66000000"/>
  </r>
  <r>
    <n v="769"/>
    <s v="Up in the Air"/>
    <n v="10"/>
    <x v="6"/>
    <x v="0"/>
    <n v="10390"/>
    <s v="Anna Kendrick"/>
    <s v="No"/>
    <n v="83823381"/>
    <n v="83019358"/>
    <m/>
    <n v="30000000"/>
  </r>
  <r>
    <n v="770"/>
    <s v="The Goodbye Girl"/>
    <n v="10"/>
    <x v="6"/>
    <x v="6"/>
    <n v="17140"/>
    <s v="Richard Dreyfuss"/>
    <s v="No"/>
    <n v="83700000"/>
    <n v="297154830"/>
    <m/>
    <n v="205000000"/>
  </r>
  <r>
    <n v="771"/>
    <s v="Wrath of the Titans"/>
    <n v="40"/>
    <x v="4"/>
    <x v="3"/>
    <n v="17725"/>
    <s v="Sam Worthington"/>
    <s v="Yes"/>
    <n v="83670083"/>
    <n v="221600000"/>
    <m/>
    <n v="150000000"/>
  </r>
  <r>
    <n v="772"/>
    <s v="Insidious Chapter 2"/>
    <n v="40"/>
    <x v="4"/>
    <x v="9"/>
    <n v="16675"/>
    <s v="Patrick Wilson"/>
    <s v="Yes"/>
    <n v="83586447"/>
    <n v="78335068"/>
    <m/>
    <n v="5000000"/>
  </r>
  <r>
    <n v="773"/>
    <s v="Battle: Los Angeles"/>
    <n v="80"/>
    <x v="0"/>
    <x v="12"/>
    <n v="16135"/>
    <s v="Michelle Rodriguez"/>
    <s v="No"/>
    <n v="83552429"/>
    <n v="129911547"/>
    <m/>
    <n v="70000000"/>
  </r>
  <r>
    <n v="774"/>
    <s v="Immortals"/>
    <n v="40"/>
    <x v="4"/>
    <x v="13"/>
    <n v="13210"/>
    <s v="Henry Cavill"/>
    <s v="No"/>
    <n v="83504017"/>
    <n v="128058418"/>
    <m/>
    <n v="75000000"/>
  </r>
  <r>
    <n v="775"/>
    <s v="Airplane!"/>
    <n v="10"/>
    <x v="6"/>
    <x v="23"/>
    <n v="14635"/>
    <s v="Kareem Abdul-Jabbar"/>
    <s v="No"/>
    <n v="83453539"/>
    <n v="142311944"/>
    <m/>
    <n v="85000000"/>
  </r>
  <r>
    <n v="776"/>
    <s v="Penguins of Madagascar"/>
    <n v="60"/>
    <x v="3"/>
    <x v="18"/>
    <n v="10675"/>
    <s v="Benedict Cumberbatch"/>
    <s v="No"/>
    <n v="83350911"/>
    <n v="284300000"/>
    <m/>
    <n v="132000000"/>
  </r>
  <r>
    <n v="777"/>
    <s v="Stripes"/>
    <n v="10"/>
    <x v="6"/>
    <x v="28"/>
    <n v="10825"/>
    <s v="Bill Murray"/>
    <s v="No"/>
    <n v="83339362"/>
    <n v="38963601"/>
    <m/>
    <n v="28000000"/>
  </r>
  <r>
    <n v="778"/>
    <s v="Fantasia"/>
    <n v="70"/>
    <x v="8"/>
    <x v="57"/>
    <n v="10000"/>
    <s v="Unidentified"/>
    <s v="No"/>
    <n v="83320000"/>
    <n v="102034442"/>
    <m/>
    <n v="6000000"/>
  </r>
  <r>
    <n v="779"/>
    <s v="Saving Mr. Banks"/>
    <n v="20"/>
    <x v="5"/>
    <x v="9"/>
    <n v="18760"/>
    <s v="Tom Hanks"/>
    <s v="No"/>
    <n v="83299761"/>
    <n v="142913876"/>
    <m/>
    <n v="0"/>
  </r>
  <r>
    <n v="780"/>
    <s v="Patriot Games"/>
    <n v="10"/>
    <x v="6"/>
    <x v="33"/>
    <n v="13120"/>
    <s v="Harrison Ford"/>
    <s v="No"/>
    <n v="83287363"/>
    <n v="94812637"/>
    <m/>
    <n v="45000000"/>
  </r>
  <r>
    <n v="781"/>
    <s v="The War of the Roses"/>
    <n v="10"/>
    <x v="6"/>
    <x v="27"/>
    <n v="15985"/>
    <s v="Michael Douglas"/>
    <s v="No"/>
    <n v="83216475"/>
    <n v="72604130"/>
    <m/>
    <n v="30000000"/>
  </r>
  <r>
    <n v="782"/>
    <s v="Valkyrie"/>
    <n v="20"/>
    <x v="5"/>
    <x v="4"/>
    <n v="18745"/>
    <s v="Tom Cruise"/>
    <s v="No"/>
    <n v="83077762"/>
    <n v="120824345"/>
    <m/>
    <n v="90000000"/>
  </r>
  <r>
    <n v="783"/>
    <s v="Brokeback Mountain"/>
    <n v="50"/>
    <x v="1"/>
    <x v="17"/>
    <n v="14680"/>
    <s v="Kate Mara"/>
    <s v="No"/>
    <n v="83043761"/>
    <n v="93968412"/>
    <m/>
    <n v="13900000"/>
  </r>
  <r>
    <n v="784"/>
    <s v="Turbo"/>
    <n v="60"/>
    <x v="3"/>
    <x v="9"/>
    <n v="17650"/>
    <s v="Ryan Reynolds"/>
    <s v="No"/>
    <n v="83028130"/>
    <n v="203868448"/>
    <m/>
    <n v="135000000"/>
  </r>
  <r>
    <n v="785"/>
    <s v="Disclosure"/>
    <n v="10"/>
    <x v="6"/>
    <x v="11"/>
    <n v="11185"/>
    <s v="Caroline Goodall"/>
    <s v="No"/>
    <n v="82976682"/>
    <n v="129184911"/>
    <m/>
    <n v="0"/>
  </r>
  <r>
    <n v="786"/>
    <s v="Monster-in-Law"/>
    <n v="10"/>
    <x v="6"/>
    <x v="17"/>
    <n v="14005"/>
    <s v="Jennifer Lopez"/>
    <s v="No"/>
    <n v="82931301"/>
    <n v="73000000"/>
    <m/>
    <n v="45000000"/>
  </r>
  <r>
    <n v="787"/>
    <s v="The Descendants"/>
    <n v="10"/>
    <x v="6"/>
    <x v="12"/>
    <n v="12925"/>
    <s v="George Clooney"/>
    <s v="No"/>
    <n v="82624961"/>
    <n v="92882839"/>
    <m/>
    <n v="20000000"/>
  </r>
  <r>
    <n v="788"/>
    <s v="Charlotte's Web"/>
    <n v="40"/>
    <x v="4"/>
    <x v="10"/>
    <n v="12265"/>
    <s v="Dominic Scott Kay"/>
    <s v="No"/>
    <n v="82599768"/>
    <n v="61000000"/>
    <m/>
    <n v="82500000"/>
  </r>
  <r>
    <n v="789"/>
    <s v="Cheaper by the Dozen 2"/>
    <n v="10"/>
    <x v="6"/>
    <x v="17"/>
    <n v="18475"/>
    <s v="Taylor Lautner"/>
    <s v="Yes"/>
    <n v="82571173"/>
    <n v="52444157"/>
    <m/>
    <n v="60000000"/>
  </r>
  <r>
    <n v="790"/>
    <s v="Freddy vs. Jason"/>
    <n v="10"/>
    <x v="6"/>
    <x v="16"/>
    <n v="12595"/>
    <s v="Evangeline Lilly"/>
    <s v="No"/>
    <n v="82490748"/>
    <n v="50600000"/>
    <m/>
    <n v="26000000"/>
  </r>
  <r>
    <n v="791"/>
    <s v="Mr. Holland's Opus"/>
    <n v="10"/>
    <x v="6"/>
    <x v="36"/>
    <n v="19195"/>
    <s v="William H. Macy"/>
    <s v="No"/>
    <n v="82465254"/>
    <n v="44976083"/>
    <m/>
    <n v="50000000"/>
  </r>
  <r>
    <n v="792"/>
    <s v="Let’s Be Cops"/>
    <n v="10"/>
    <x v="6"/>
    <x v="18"/>
    <n v="11755"/>
    <s v="Damon Wayans Jr."/>
    <s v="No"/>
    <n v="82390774"/>
    <n v="54500000"/>
    <m/>
    <n v="17000000"/>
  </r>
  <r>
    <n v="793"/>
    <s v="Under Siege"/>
    <n v="10"/>
    <x v="6"/>
    <x v="33"/>
    <n v="18295"/>
    <s v="Steven Seagal"/>
    <s v="No"/>
    <n v="82304365"/>
    <n v="73000000"/>
    <m/>
    <n v="0"/>
  </r>
  <r>
    <n v="794"/>
    <s v="Are We There Yet?"/>
    <n v="60"/>
    <x v="3"/>
    <x v="17"/>
    <n v="18925"/>
    <s v="Tracy Morgan"/>
    <s v="No"/>
    <n v="82301521"/>
    <n v="162029504"/>
    <m/>
    <n v="65000000"/>
  </r>
  <r>
    <n v="795"/>
    <s v="Star Trek: The Motion Picture"/>
    <n v="80"/>
    <x v="0"/>
    <x v="52"/>
    <n v="19225"/>
    <s v="William Shatner"/>
    <s v="No"/>
    <n v="82258456"/>
    <n v="56741544"/>
    <m/>
    <n v="35000000"/>
  </r>
  <r>
    <n v="796"/>
    <s v="Bridge to Terabithia"/>
    <n v="40"/>
    <x v="4"/>
    <x v="19"/>
    <n v="14665"/>
    <s v="Kate Butler"/>
    <s v="No"/>
    <n v="82234139"/>
    <n v="55750649"/>
    <m/>
    <n v="25000000"/>
  </r>
  <r>
    <n v="797"/>
    <s v="The Pink Panther"/>
    <n v="50"/>
    <x v="1"/>
    <x v="10"/>
    <n v="18265"/>
    <s v="Steve Martin"/>
    <s v="Yes"/>
    <n v="82226474"/>
    <n v="76700000"/>
    <m/>
    <n v="80000000"/>
  </r>
  <r>
    <n v="798"/>
    <s v="Beowulf"/>
    <n v="40"/>
    <x v="4"/>
    <x v="19"/>
    <n v="13045"/>
    <s v="Greg Ellis"/>
    <s v="No"/>
    <n v="82195215"/>
    <n v="112800000"/>
    <m/>
    <n v="150000000"/>
  </r>
  <r>
    <n v="799"/>
    <s v="Presumed Innocent"/>
    <n v="10"/>
    <x v="6"/>
    <x v="24"/>
    <n v="13120"/>
    <s v="Harrison Ford"/>
    <s v="No"/>
    <n v="82115403"/>
    <n v="134996812"/>
    <m/>
    <n v="0"/>
  </r>
  <r>
    <n v="800"/>
    <s v="Blade 2"/>
    <n v="90"/>
    <x v="2"/>
    <x v="14"/>
    <n v="18565"/>
    <s v="Thomas Kretschmann"/>
    <s v="Yes"/>
    <n v="81676888"/>
    <n v="72661713"/>
    <m/>
    <n v="54000000"/>
  </r>
  <r>
    <n v="801"/>
    <s v="Eight Below"/>
    <n v="10"/>
    <x v="6"/>
    <x v="10"/>
    <n v="16300"/>
    <s v="Moon Bloodgood"/>
    <s v="No"/>
    <n v="81612565"/>
    <n v="264200000"/>
    <m/>
    <n v="178000000"/>
  </r>
  <r>
    <n v="802"/>
    <s v="M*A*S*H"/>
    <n v="10"/>
    <x v="6"/>
    <x v="48"/>
    <n v="12295"/>
    <s v="Donald Sutherland"/>
    <s v="No"/>
    <n v="81600000"/>
    <n v="324000000"/>
    <m/>
    <n v="40000000"/>
  </r>
  <r>
    <n v="803"/>
    <s v="Unstoppable"/>
    <n v="20"/>
    <x v="5"/>
    <x v="12"/>
    <n v="11380"/>
    <s v="Chris Pine"/>
    <s v="No"/>
    <n v="81562942"/>
    <n v="87948667"/>
    <m/>
    <n v="95000000"/>
  </r>
  <r>
    <n v="804"/>
    <s v="Payback"/>
    <n v="10"/>
    <x v="6"/>
    <x v="5"/>
    <n v="15865"/>
    <s v="Mel Gibson"/>
    <s v="No"/>
    <n v="81526121"/>
    <n v="80100000"/>
    <m/>
    <n v="50000000"/>
  </r>
  <r>
    <n v="805"/>
    <s v="The Talented Mr. Ripley"/>
    <n v="50"/>
    <x v="1"/>
    <x v="5"/>
    <n v="15685"/>
    <s v="Matt Damon"/>
    <s v="No"/>
    <n v="81292135"/>
    <n v="141020000"/>
    <m/>
    <n v="0"/>
  </r>
  <r>
    <n v="806"/>
    <s v="Ted 2"/>
    <n v="40"/>
    <x v="4"/>
    <x v="2"/>
    <n v="15565"/>
    <s v="Mark Wahlberg"/>
    <s v="Yes"/>
    <n v="81284830"/>
    <n v="134387223"/>
    <m/>
    <n v="0"/>
  </r>
  <r>
    <n v="807"/>
    <s v="School of Rock"/>
    <n v="10"/>
    <x v="6"/>
    <x v="16"/>
    <n v="13405"/>
    <s v="Jack Black"/>
    <s v="No"/>
    <n v="81261177"/>
    <n v="50684126"/>
    <m/>
    <n v="20000000"/>
  </r>
  <r>
    <n v="808"/>
    <s v="Police Academy"/>
    <n v="10"/>
    <x v="6"/>
    <x v="29"/>
    <n v="18220"/>
    <s v="Steve Guttenberg"/>
    <s v="No"/>
    <n v="81198894"/>
    <n v="77900000"/>
    <m/>
    <n v="30000000"/>
  </r>
  <r>
    <n v="809"/>
    <s v="Jumper"/>
    <n v="80"/>
    <x v="0"/>
    <x v="4"/>
    <n v="12190"/>
    <s v="Diane Lane"/>
    <s v="No"/>
    <n v="81168265"/>
    <n v="142468684"/>
    <m/>
    <n v="82500000"/>
  </r>
  <r>
    <n v="810"/>
    <s v="21"/>
    <n v="10"/>
    <x v="6"/>
    <x v="4"/>
    <n v="13435"/>
    <s v="Jack McGee"/>
    <s v="No"/>
    <n v="81159365"/>
    <n v="76693167"/>
    <m/>
    <n v="35000000"/>
  </r>
  <r>
    <n v="811"/>
    <s v="Snow Dogs"/>
    <n v="60"/>
    <x v="3"/>
    <x v="14"/>
    <n v="11680"/>
    <s v="Cuba Gooding, Jr."/>
    <s v="No"/>
    <n v="81150692"/>
    <n v="243199737"/>
    <m/>
    <n v="14000000"/>
  </r>
  <r>
    <n v="812"/>
    <s v="While You Were Sleeping"/>
    <n v="10"/>
    <x v="6"/>
    <x v="36"/>
    <n v="16870"/>
    <s v="Peter Gallagher"/>
    <s v="No"/>
    <n v="81052361"/>
    <n v="101000000"/>
    <m/>
    <n v="0"/>
  </r>
  <r>
    <n v="813"/>
    <s v="The Notebook"/>
    <n v="10"/>
    <x v="6"/>
    <x v="7"/>
    <n v="17635"/>
    <s v="Ryan Gosling"/>
    <s v="No"/>
    <n v="81001787"/>
    <n v="72346000"/>
    <m/>
    <n v="45000000"/>
  </r>
  <r>
    <n v="814"/>
    <s v="Congo"/>
    <n v="10"/>
    <x v="6"/>
    <x v="36"/>
    <n v="12385"/>
    <s v="Dylan Walsh"/>
    <s v="No"/>
    <n v="80998938"/>
    <n v="71000000"/>
    <m/>
    <n v="50000000"/>
  </r>
  <r>
    <n v="815"/>
    <s v="Jimmy Neutron: Boy Genius"/>
    <n v="60"/>
    <x v="3"/>
    <x v="20"/>
    <n v="10870"/>
    <s v="Billy West"/>
    <s v="No"/>
    <n v="80936232"/>
    <n v="181362621"/>
    <m/>
    <n v="0"/>
  </r>
  <r>
    <n v="816"/>
    <s v="Alien"/>
    <n v="80"/>
    <x v="0"/>
    <x v="52"/>
    <n v="19255"/>
    <s v="Yaphet Kotto"/>
    <s v="No"/>
    <n v="80930630"/>
    <n v="122700000"/>
    <m/>
    <n v="9000000"/>
  </r>
  <r>
    <n v="817"/>
    <s v="Arthur"/>
    <n v="10"/>
    <x v="6"/>
    <x v="28"/>
    <n v="14140"/>
    <s v="Jill Eikenberry"/>
    <s v="No"/>
    <n v="80803852"/>
    <n v="353021818"/>
    <m/>
    <n v="140000000"/>
  </r>
  <r>
    <n v="818"/>
    <s v="Die Hard"/>
    <n v="10"/>
    <x v="6"/>
    <x v="40"/>
    <n v="17305"/>
    <s v="Robert Davi"/>
    <s v="No"/>
    <n v="80639179"/>
    <n v="57759104"/>
    <m/>
    <n v="28000000"/>
  </r>
  <r>
    <n v="819"/>
    <s v="Eat Pray Love"/>
    <n v="10"/>
    <x v="6"/>
    <x v="12"/>
    <n v="14530"/>
    <s v="Julia Roberts"/>
    <s v="No"/>
    <n v="80574010"/>
    <n v="126024779"/>
    <m/>
    <n v="60000000"/>
  </r>
  <r>
    <n v="820"/>
    <s v="Maze Runner: The Scorch Trials"/>
    <n v="80"/>
    <x v="0"/>
    <x v="2"/>
    <n v="12370"/>
    <s v="Dylan O'Brien"/>
    <s v="Yes"/>
    <n v="80545201"/>
    <n v="218500000"/>
    <m/>
    <n v="61000000"/>
  </r>
  <r>
    <n v="821"/>
    <s v="Fiddler on the Roof"/>
    <n v="50"/>
    <x v="1"/>
    <x v="53"/>
    <n v="16765"/>
    <s v="Paul Michael Glaser"/>
    <s v="No"/>
    <n v="80500000"/>
    <n v="163454307"/>
    <m/>
    <n v="14000000"/>
  </r>
  <r>
    <n v="822"/>
    <s v="The Texas Chainsaw Massacre"/>
    <n v="50"/>
    <x v="1"/>
    <x v="16"/>
    <n v="14110"/>
    <s v="Jessica Biel"/>
    <s v="No"/>
    <n v="80390022"/>
    <n v="141600000"/>
    <m/>
    <n v="75000000"/>
  </r>
  <r>
    <n v="823"/>
    <s v="Zookeeper"/>
    <n v="40"/>
    <x v="4"/>
    <x v="12"/>
    <n v="10015"/>
    <s v="Adam Sandler"/>
    <s v="No"/>
    <n v="80360866"/>
    <n v="90444659"/>
    <m/>
    <n v="80000000"/>
  </r>
  <r>
    <n v="824"/>
    <s v="AVP: Alien Vs. Predator"/>
    <n v="80"/>
    <x v="0"/>
    <x v="7"/>
    <n v="18850"/>
    <s v="Tommy Flanagan"/>
    <s v="No"/>
    <n v="80281096"/>
    <n v="92262423"/>
    <m/>
    <n v="70000000"/>
  </r>
  <r>
    <n v="825"/>
    <s v="What Happens in Vegas..."/>
    <n v="10"/>
    <x v="6"/>
    <x v="4"/>
    <n v="11140"/>
    <s v="Cameron Diaz"/>
    <s v="No"/>
    <n v="80277646"/>
    <n v="138258062"/>
    <m/>
    <n v="35000000"/>
  </r>
  <r>
    <n v="826"/>
    <s v="The Dukes of Hazzard"/>
    <n v="10"/>
    <x v="6"/>
    <x v="17"/>
    <n v="15400"/>
    <s v="M.C. Gainey"/>
    <s v="No"/>
    <n v="80270227"/>
    <n v="120498675"/>
    <m/>
    <n v="65000000"/>
  </r>
  <r>
    <n v="827"/>
    <s v="Saw III"/>
    <n v="10"/>
    <x v="6"/>
    <x v="10"/>
    <n v="18700"/>
    <s v="Tobin Bell"/>
    <s v="Yes"/>
    <n v="80238724"/>
    <n v="83638091"/>
    <m/>
    <n v="10000000"/>
  </r>
  <r>
    <n v="828"/>
    <s v="The Wedding Singer"/>
    <n v="50"/>
    <x v="1"/>
    <x v="31"/>
    <n v="12310"/>
    <s v="Drew Barrymore"/>
    <s v="No"/>
    <n v="80224502"/>
    <n v="74000000"/>
    <m/>
    <n v="40000000"/>
  </r>
  <r>
    <n v="829"/>
    <s v="Nacho Libre"/>
    <n v="10"/>
    <x v="6"/>
    <x v="10"/>
    <n v="13405"/>
    <s v="Jack Black"/>
    <s v="No"/>
    <n v="80197993"/>
    <n v="66686829"/>
    <m/>
    <n v="30000000"/>
  </r>
  <r>
    <n v="830"/>
    <s v="Disturbia"/>
    <n v="10"/>
    <x v="6"/>
    <x v="19"/>
    <n v="15670"/>
    <s v="Matt Craven"/>
    <s v="No"/>
    <n v="80106701"/>
    <n v="96807196"/>
    <m/>
    <n v="30000000"/>
  </r>
  <r>
    <n v="831"/>
    <s v="Jack Reacher"/>
    <n v="10"/>
    <x v="6"/>
    <x v="3"/>
    <n v="18745"/>
    <s v="Tom Cruise"/>
    <s v="No"/>
    <n v="80070736"/>
    <n v="137300000"/>
    <m/>
    <n v="60000000"/>
  </r>
  <r>
    <n v="832"/>
    <s v="Cloverfield"/>
    <n v="80"/>
    <x v="0"/>
    <x v="4"/>
    <n v="18400"/>
    <s v="T.J. Miller"/>
    <s v="No"/>
    <n v="80048433"/>
    <n v="91253793"/>
    <m/>
    <n v="25000000"/>
  </r>
  <r>
    <n v="833"/>
    <s v="Another 48 Hrs."/>
    <n v="10"/>
    <x v="6"/>
    <x v="24"/>
    <n v="18670"/>
    <s v="Tisha Campbell-Martin"/>
    <s v="Yes"/>
    <n v="80047413"/>
    <n v="72700000"/>
    <m/>
    <n v="0"/>
  </r>
  <r>
    <n v="834"/>
    <s v="Dear John"/>
    <n v="10"/>
    <x v="6"/>
    <x v="12"/>
    <n v="17875"/>
    <s v="Scott Porter"/>
    <s v="No"/>
    <n v="80014842"/>
    <n v="62018667"/>
    <m/>
    <n v="25000000"/>
  </r>
  <r>
    <n v="835"/>
    <s v="The Ten Commandments"/>
    <n v="20"/>
    <x v="5"/>
    <x v="58"/>
    <n v="11320"/>
    <s v="Charlton Heston"/>
    <s v="No"/>
    <n v="80000000"/>
    <n v="141020000"/>
    <m/>
    <n v="0"/>
  </r>
  <r>
    <n v="836"/>
    <s v="Knowing"/>
    <n v="10"/>
    <x v="6"/>
    <x v="0"/>
    <n v="11695"/>
    <s v="D.G. Maloney"/>
    <s v="No"/>
    <n v="79957634"/>
    <n v="106492683"/>
    <m/>
    <n v="50000000"/>
  </r>
  <r>
    <n v="837"/>
    <s v="War Horse"/>
    <n v="10"/>
    <x v="6"/>
    <x v="13"/>
    <n v="14050"/>
    <s v="Jeremy Irvine"/>
    <s v="No"/>
    <n v="79883359"/>
    <n v="76932170"/>
    <m/>
    <n v="70000000"/>
  </r>
  <r>
    <n v="838"/>
    <s v="Dark Shadows"/>
    <n v="40"/>
    <x v="4"/>
    <x v="13"/>
    <n v="14350"/>
    <s v="Johnny Depp"/>
    <s v="No"/>
    <n v="79727149"/>
    <n v="156800000"/>
    <m/>
    <n v="150000000"/>
  </r>
  <r>
    <n v="839"/>
    <s v="Earthquake"/>
    <n v="80"/>
    <x v="0"/>
    <x v="46"/>
    <n v="17170"/>
    <s v="Richard Roundtree"/>
    <s v="No"/>
    <n v="79700000"/>
    <n v="76625826"/>
    <m/>
    <n v="80000000"/>
  </r>
  <r>
    <n v="840"/>
    <s v="Hannah Montana the Movie"/>
    <n v="10"/>
    <x v="6"/>
    <x v="0"/>
    <n v="10585"/>
    <s v="Barry Bostwick"/>
    <s v="No"/>
    <n v="79559647"/>
    <n v="89597017"/>
    <m/>
    <n v="30000000"/>
  </r>
  <r>
    <n v="841"/>
    <s v="The Day the Earth Stood Still"/>
    <n v="80"/>
    <x v="0"/>
    <x v="4"/>
    <n v="10990"/>
    <s v="Brandon T. Jackson"/>
    <s v="No"/>
    <n v="79366978"/>
    <n v="153700000"/>
    <m/>
    <n v="80000000"/>
  </r>
  <r>
    <n v="842"/>
    <s v="Limitless"/>
    <n v="80"/>
    <x v="0"/>
    <x v="12"/>
    <n v="10945"/>
    <s v="Bradley Cooper"/>
    <s v="No"/>
    <n v="79249455"/>
    <n v="76315464"/>
    <m/>
    <n v="27000000"/>
  </r>
  <r>
    <n v="843"/>
    <s v="Out of Africa"/>
    <n v="50"/>
    <x v="1"/>
    <x v="32"/>
    <n v="15910"/>
    <s v="Meryl Streep"/>
    <s v="No"/>
    <n v="79096868"/>
    <n v="179113992"/>
    <s v="Y"/>
    <n v="31000000"/>
  </r>
  <r>
    <n v="844"/>
    <s v="Cape Fear"/>
    <n v="10"/>
    <x v="6"/>
    <x v="30"/>
    <n v="12760"/>
    <s v="Fred Dalton Thompson"/>
    <s v="No"/>
    <n v="79091969"/>
    <n v="103200000"/>
    <m/>
    <n v="35000000"/>
  </r>
  <r>
    <n v="845"/>
    <s v="Fried Green Tomatoes"/>
    <n v="50"/>
    <x v="1"/>
    <x v="30"/>
    <n v="16435"/>
    <s v="Nick Searcy"/>
    <s v="No"/>
    <n v="78874364"/>
    <n v="76000000"/>
    <m/>
    <n v="0"/>
  </r>
  <r>
    <n v="846"/>
    <s v="Apocalypse Now"/>
    <n v="50"/>
    <x v="1"/>
    <x v="52"/>
    <n v="13480"/>
    <s v="Jack Thibeau"/>
    <s v="No"/>
    <n v="78800000"/>
    <n v="154130000"/>
    <m/>
    <n v="0"/>
  </r>
  <r>
    <n v="847"/>
    <s v="Days of Thunder"/>
    <n v="10"/>
    <x v="6"/>
    <x v="24"/>
    <n v="16825"/>
    <s v="Peter Appel"/>
    <s v="No"/>
    <n v="78771268"/>
    <n v="75000000"/>
    <m/>
    <n v="60000000"/>
  </r>
  <r>
    <n v="848"/>
    <s v="Pixels"/>
    <n v="80"/>
    <x v="0"/>
    <x v="9"/>
    <n v="10015"/>
    <s v="Adam Sandler"/>
    <s v="No"/>
    <n v="78747585"/>
    <n v="164819305"/>
    <m/>
    <n v="90000000"/>
  </r>
  <r>
    <n v="849"/>
    <s v="City of Angels"/>
    <n v="40"/>
    <x v="4"/>
    <x v="31"/>
    <n v="17395"/>
    <s v="Robin Bartlett"/>
    <s v="No"/>
    <n v="78745923"/>
    <n v="120000000"/>
    <m/>
    <n v="55000000"/>
  </r>
  <r>
    <n v="850"/>
    <s v="The English Patient"/>
    <n v="50"/>
    <x v="1"/>
    <x v="22"/>
    <n v="16405"/>
    <s v="Naveen Andrews"/>
    <s v="No"/>
    <n v="78651430"/>
    <n v="153000000"/>
    <s v="Y"/>
    <n v="35000000"/>
  </r>
  <r>
    <n v="851"/>
    <s v="Star Trek II: The Wrath of Khan"/>
    <n v="80"/>
    <x v="0"/>
    <x v="8"/>
    <n v="19225"/>
    <s v="William Shatner"/>
    <s v="Yes"/>
    <n v="78633541"/>
    <n v="127950427"/>
    <m/>
    <n v="140000000"/>
  </r>
  <r>
    <n v="852"/>
    <s v="Artificial Intelligence: AI"/>
    <n v="80"/>
    <x v="0"/>
    <x v="20"/>
    <n v="15925"/>
    <s v="Michael Berresse"/>
    <s v="No"/>
    <n v="78616689"/>
    <n v="157283311"/>
    <m/>
    <n v="90000000"/>
  </r>
  <r>
    <n v="853"/>
    <s v="Cocktail"/>
    <n v="10"/>
    <x v="6"/>
    <x v="40"/>
    <n v="15340"/>
    <s v="Lisa Banes"/>
    <s v="No"/>
    <n v="78222753"/>
    <n v="91253793"/>
    <m/>
    <n v="25000000"/>
  </r>
  <r>
    <n v="854"/>
    <s v="Bram Stoker's Dracula"/>
    <n v="40"/>
    <x v="4"/>
    <x v="33"/>
    <n v="10750"/>
    <s v="Bill Campbell"/>
    <s v="No"/>
    <n v="78142084"/>
    <n v="133339902"/>
    <m/>
    <n v="40000000"/>
  </r>
  <r>
    <n v="855"/>
    <s v="We Were Soldiers"/>
    <n v="20"/>
    <x v="5"/>
    <x v="14"/>
    <n v="15865"/>
    <s v="Mel Gibson"/>
    <s v="No"/>
    <n v="78120196"/>
    <n v="61400000"/>
    <m/>
    <n v="20000000"/>
  </r>
  <r>
    <n v="856"/>
    <s v="Tower Heist"/>
    <n v="10"/>
    <x v="6"/>
    <x v="13"/>
    <n v="10660"/>
    <s v="Ben Stiller"/>
    <s v="No"/>
    <n v="78046570"/>
    <n v="75441402"/>
    <m/>
    <n v="85000000"/>
  </r>
  <r>
    <n v="857"/>
    <s v="The Monuments Men"/>
    <n v="50"/>
    <x v="1"/>
    <x v="9"/>
    <n v="12925"/>
    <s v="George Clooney"/>
    <s v="No"/>
    <n v="78031620"/>
    <n v="80671128"/>
    <m/>
    <n v="70000000"/>
  </r>
  <r>
    <n v="858"/>
    <s v="Man on Fire"/>
    <n v="10"/>
    <x v="6"/>
    <x v="7"/>
    <n v="12115"/>
    <s v="Denzel Washington"/>
    <s v="No"/>
    <n v="77906816"/>
    <n v="53061763"/>
    <m/>
    <n v="60000000"/>
  </r>
  <r>
    <n v="859"/>
    <s v="Backdraft"/>
    <n v="10"/>
    <x v="6"/>
    <x v="30"/>
    <n v="13435"/>
    <s v="Jack McGee"/>
    <s v="No"/>
    <n v="77868585"/>
    <n v="74500000"/>
    <m/>
    <n v="0"/>
  </r>
  <r>
    <n v="860"/>
    <s v="Gangs of New York"/>
    <n v="50"/>
    <x v="1"/>
    <x v="14"/>
    <n v="12670"/>
    <s v="Ford Keirnan"/>
    <s v="No"/>
    <n v="77730500"/>
    <n v="105394121"/>
    <m/>
    <n v="97000000"/>
  </r>
  <r>
    <n v="861"/>
    <s v="Free Willy"/>
    <n v="10"/>
    <x v="6"/>
    <x v="15"/>
    <n v="13810"/>
    <s v="Jason James Richter"/>
    <s v="No"/>
    <n v="77698625"/>
    <n v="76000000"/>
    <m/>
    <n v="0"/>
  </r>
  <r>
    <n v="862"/>
    <s v="The Adventures of Tintin"/>
    <n v="10"/>
    <x v="6"/>
    <x v="13"/>
    <n v="18880"/>
    <s v="Tony Curran"/>
    <s v="No"/>
    <n v="77591831"/>
    <n v="100019072"/>
    <m/>
    <n v="110000000"/>
  </r>
  <r>
    <n v="863"/>
    <s v="Steel Magnolias"/>
    <n v="10"/>
    <x v="6"/>
    <x v="27"/>
    <n v="17680"/>
    <s v="Sally Field"/>
    <s v="No"/>
    <n v="77568541"/>
    <n v="82000000"/>
    <m/>
    <n v="60000000"/>
  </r>
  <r>
    <n v="864"/>
    <s v="The Golden Child"/>
    <n v="40"/>
    <x v="4"/>
    <x v="39"/>
    <n v="12400"/>
    <s v="Eddie Murphy"/>
    <s v="No"/>
    <n v="77559863"/>
    <n v="133533589"/>
    <m/>
    <n v="7000000"/>
  </r>
  <r>
    <n v="865"/>
    <s v="La marche de l'empereur"/>
    <n v="30"/>
    <x v="7"/>
    <x v="17"/>
    <n v="16315"/>
    <s v="Morgan Freeman"/>
    <s v="No"/>
    <n v="77437223"/>
    <n v="55839136"/>
    <m/>
    <n v="3400000"/>
  </r>
  <r>
    <n v="866"/>
    <s v="Parental Guidance"/>
    <n v="10"/>
    <x v="6"/>
    <x v="3"/>
    <n v="10855"/>
    <s v="Billy Crystal"/>
    <s v="No"/>
    <n v="77267296"/>
    <n v="86196168"/>
    <m/>
    <n v="5000000"/>
  </r>
  <r>
    <n v="867"/>
    <s v="Where the Wild Things Are"/>
    <n v="40"/>
    <x v="4"/>
    <x v="0"/>
    <n v="11230"/>
    <s v="Catherin O'Hara"/>
    <s v="No"/>
    <n v="77233467"/>
    <n v="191300000"/>
    <m/>
    <n v="65000000"/>
  </r>
  <r>
    <n v="868"/>
    <s v="The A-Team"/>
    <n v="10"/>
    <x v="6"/>
    <x v="12"/>
    <n v="14110"/>
    <s v="Jessica Biel"/>
    <s v="No"/>
    <n v="77222099"/>
    <n v="100019072"/>
    <m/>
    <n v="110000000"/>
  </r>
  <r>
    <n v="869"/>
    <s v="U-571"/>
    <n v="50"/>
    <x v="1"/>
    <x v="25"/>
    <n v="15805"/>
    <s v="Matthew McConaughey"/>
    <s v="No"/>
    <n v="77086030"/>
    <n v="105688391"/>
    <m/>
    <n v="60000000"/>
  </r>
  <r>
    <n v="870"/>
    <s v="The Terminal"/>
    <n v="20"/>
    <x v="5"/>
    <x v="7"/>
    <n v="18760"/>
    <s v="Tom Hanks"/>
    <s v="No"/>
    <n v="77073959"/>
    <n v="141600000"/>
    <m/>
    <n v="75000000"/>
  </r>
  <r>
    <n v="871"/>
    <s v="Moonstruck"/>
    <n v="10"/>
    <x v="6"/>
    <x v="41"/>
    <n v="16465"/>
    <s v="Nicolas Cage"/>
    <s v="No"/>
    <n v="77051120"/>
    <n v="140000000"/>
    <m/>
    <n v="31000000"/>
  </r>
  <r>
    <n v="872"/>
    <s v="27 Dresses"/>
    <n v="10"/>
    <x v="6"/>
    <x v="4"/>
    <n v="11065"/>
    <s v="Brian Kerwin"/>
    <s v="No"/>
    <n v="76806312"/>
    <n v="83439151"/>
    <m/>
    <n v="30000000"/>
  </r>
  <r>
    <n v="873"/>
    <s v="The Muppet Movie"/>
    <n v="60"/>
    <x v="3"/>
    <x v="52"/>
    <n v="18265"/>
    <s v="Steve Martin"/>
    <s v="No"/>
    <n v="76657000"/>
    <n v="303268449"/>
    <m/>
    <n v="175000000"/>
  </r>
  <r>
    <n v="874"/>
    <s v="Father of the Bride Part II"/>
    <n v="10"/>
    <x v="6"/>
    <x v="36"/>
    <n v="16900"/>
    <s v="Peter Michael Goetz"/>
    <s v="Yes"/>
    <n v="76578911"/>
    <n v="163454307"/>
    <m/>
    <n v="14000000"/>
  </r>
  <r>
    <n v="875"/>
    <s v="Philadelphia"/>
    <n v="10"/>
    <x v="6"/>
    <x v="15"/>
    <n v="12115"/>
    <s v="Denzel Washington"/>
    <s v="No"/>
    <n v="76512063"/>
    <n v="124000000"/>
    <m/>
    <n v="26000000"/>
  </r>
  <r>
    <n v="876"/>
    <s v="Rugrats in Paris"/>
    <n v="60"/>
    <x v="3"/>
    <x v="25"/>
    <n v="14245"/>
    <s v="Joe Alaskey"/>
    <s v="No"/>
    <n v="76501438"/>
    <n v="101203653"/>
    <m/>
    <n v="14500000"/>
  </r>
  <r>
    <n v="877"/>
    <s v="Knight and Day"/>
    <n v="10"/>
    <x v="6"/>
    <x v="12"/>
    <n v="18745"/>
    <s v="Tom Cruise"/>
    <s v="No"/>
    <n v="76423035"/>
    <n v="182328335"/>
    <m/>
    <n v="117000000"/>
  </r>
  <r>
    <n v="878"/>
    <s v="Teenage Mutant Ninja Turtles II: The Secret of the Ooze"/>
    <n v="40"/>
    <x v="4"/>
    <x v="30"/>
    <n v="12040"/>
    <s v="David Warner"/>
    <s v="Yes"/>
    <n v="76323571"/>
    <n v="66734085"/>
    <m/>
    <n v="13500000"/>
  </r>
  <r>
    <n v="879"/>
    <s v="Training Day"/>
    <n v="10"/>
    <x v="6"/>
    <x v="20"/>
    <n v="12115"/>
    <s v="Denzel Washington"/>
    <s v="No"/>
    <n v="76261036"/>
    <n v="84192524"/>
    <m/>
    <n v="48000000"/>
  </r>
  <r>
    <n v="880"/>
    <s v="White Men Can't Jump"/>
    <n v="10"/>
    <x v="6"/>
    <x v="33"/>
    <n v="19240"/>
    <s v="Woody Harrelson"/>
    <s v="No"/>
    <n v="76253806"/>
    <n v="132336603"/>
    <m/>
    <n v="150000000"/>
  </r>
  <r>
    <n v="881"/>
    <s v="Paddington"/>
    <n v="60"/>
    <x v="3"/>
    <x v="18"/>
    <n v="13255"/>
    <s v="Hugh Bonneville"/>
    <s v="No"/>
    <n v="76223578"/>
    <n v="183317852"/>
    <m/>
    <n v="55000000"/>
  </r>
  <r>
    <n v="882"/>
    <s v="Conspiracy Theory"/>
    <n v="10"/>
    <x v="6"/>
    <x v="1"/>
    <n v="18250"/>
    <s v="Steve Kahan"/>
    <s v="No"/>
    <n v="76081498"/>
    <n v="66664728"/>
    <m/>
    <n v="80000000"/>
  </r>
  <r>
    <n v="883"/>
    <s v="The Ring Two"/>
    <n v="10"/>
    <x v="6"/>
    <x v="17"/>
    <n v="16375"/>
    <s v="Naomi Watts"/>
    <s v="Yes"/>
    <n v="75941727"/>
    <n v="86000000"/>
    <m/>
    <n v="50000000"/>
  </r>
  <r>
    <n v="884"/>
    <s v="48 Hrs."/>
    <n v="10"/>
    <x v="6"/>
    <x v="8"/>
    <n v="13480"/>
    <s v="Jack Thibeau"/>
    <s v="No"/>
    <n v="75936265"/>
    <n v="113296587"/>
    <m/>
    <n v="175000000"/>
  </r>
  <r>
    <n v="885"/>
    <s v="Cocoon"/>
    <n v="80"/>
    <x v="0"/>
    <x v="32"/>
    <n v="13585"/>
    <s v="James Fitzpatrick"/>
    <s v="No"/>
    <n v="75901168"/>
    <n v="91253793"/>
    <m/>
    <n v="25000000"/>
  </r>
  <r>
    <n v="886"/>
    <s v="Footloose"/>
    <n v="10"/>
    <x v="6"/>
    <x v="29"/>
    <n v="15355"/>
    <s v="Lori Singer"/>
    <s v="No"/>
    <n v="75846770"/>
    <n v="100500000"/>
    <m/>
    <n v="65000000"/>
  </r>
  <r>
    <n v="887"/>
    <s v="The Haunted Mansion"/>
    <n v="60"/>
    <x v="3"/>
    <x v="16"/>
    <n v="15610"/>
    <s v="Martin Klebba"/>
    <s v="No"/>
    <n v="75817994"/>
    <n v="79932634"/>
    <m/>
    <n v="90000000"/>
  </r>
  <r>
    <n v="888"/>
    <s v="Hellboy II: The Golden Army"/>
    <n v="90"/>
    <x v="2"/>
    <x v="4"/>
    <n v="17905"/>
    <s v="Seth MacFarlane"/>
    <s v="Yes"/>
    <n v="75791785"/>
    <n v="84401560"/>
    <m/>
    <n v="82500000"/>
  </r>
  <r>
    <n v="889"/>
    <s v="Barbershop"/>
    <n v="10"/>
    <x v="6"/>
    <x v="14"/>
    <n v="18835"/>
    <s v="Tom Wright"/>
    <s v="No"/>
    <n v="75781642"/>
    <n v="165203000"/>
    <m/>
    <n v="0"/>
  </r>
  <r>
    <n v="890"/>
    <s v="The Family Man"/>
    <n v="10"/>
    <x v="6"/>
    <x v="25"/>
    <n v="10195"/>
    <s v="Amber Valletta"/>
    <s v="No"/>
    <n v="75764085"/>
    <n v="170138834"/>
    <m/>
    <n v="100000000"/>
  </r>
  <r>
    <n v="891"/>
    <s v="The Untouchables"/>
    <n v="20"/>
    <x v="5"/>
    <x v="41"/>
    <n v="17320"/>
    <s v="Robert De Niro"/>
    <s v="No"/>
    <n v="75729280"/>
    <n v="116383693"/>
    <m/>
    <n v="38000000"/>
  </r>
  <r>
    <n v="892"/>
    <s v="Contagion"/>
    <n v="80"/>
    <x v="0"/>
    <x v="13"/>
    <n v="13075"/>
    <s v="Gwyneth Paltrow"/>
    <s v="No"/>
    <n v="75658097"/>
    <n v="61893497"/>
    <m/>
    <n v="60000000"/>
  </r>
  <r>
    <n v="893"/>
    <s v="You, Me and Dupree"/>
    <n v="10"/>
    <x v="6"/>
    <x v="10"/>
    <n v="15700"/>
    <s v="Matt Dillon"/>
    <s v="No"/>
    <n v="75628110"/>
    <n v="102892154"/>
    <m/>
    <n v="90000000"/>
  </r>
  <r>
    <n v="894"/>
    <s v="We Bought a Zoo"/>
    <n v="20"/>
    <x v="5"/>
    <x v="13"/>
    <n v="15685"/>
    <s v="Matt Damon"/>
    <s v="No"/>
    <n v="75624550"/>
    <n v="61400000"/>
    <m/>
    <n v="20000000"/>
  </r>
  <r>
    <n v="895"/>
    <s v="2 Guns"/>
    <n v="10"/>
    <x v="6"/>
    <x v="3"/>
    <n v="12115"/>
    <s v="Denzel Washington"/>
    <s v="No"/>
    <n v="75612460"/>
    <n v="56880555"/>
    <m/>
    <n v="61000000"/>
  </r>
  <r>
    <n v="896"/>
    <s v="Moneyball"/>
    <n v="20"/>
    <x v="5"/>
    <x v="12"/>
    <n v="10930"/>
    <s v="Brad Pitt"/>
    <s v="No"/>
    <n v="75605492"/>
    <n v="77402069"/>
    <m/>
    <n v="65000000"/>
  </r>
  <r>
    <n v="897"/>
    <s v="The Rookie"/>
    <n v="10"/>
    <x v="6"/>
    <x v="14"/>
    <n v="12100"/>
    <s v="Dennis Quaid"/>
    <s v="No"/>
    <n v="75600072"/>
    <n v="0"/>
    <m/>
    <n v="1200000"/>
  </r>
  <r>
    <n v="898"/>
    <s v="Zombieland"/>
    <n v="40"/>
    <x v="4"/>
    <x v="0"/>
    <n v="19240"/>
    <s v="Woody Harrelson"/>
    <s v="No"/>
    <n v="75590286"/>
    <n v="38891719"/>
    <m/>
    <n v="52500000"/>
  </r>
  <r>
    <n v="899"/>
    <s v="Braveheart"/>
    <n v="20"/>
    <x v="5"/>
    <x v="36"/>
    <n v="12010"/>
    <s v="David Patrick O'Hara"/>
    <s v="No"/>
    <n v="75545647"/>
    <n v="133500000"/>
    <s v="Y"/>
    <n v="72000000"/>
  </r>
  <r>
    <n v="900"/>
    <s v="Any Given Sunday"/>
    <n v="10"/>
    <x v="6"/>
    <x v="5"/>
    <n v="10240"/>
    <s v="Andrew Bryniarski"/>
    <s v="No"/>
    <n v="75530832"/>
    <n v="61700000"/>
    <m/>
    <n v="60000000"/>
  </r>
  <r>
    <n v="901"/>
    <s v="Star Trek: Generations"/>
    <n v="80"/>
    <x v="0"/>
    <x v="11"/>
    <n v="11050"/>
    <s v="Brent Spiner"/>
    <s v="Yes"/>
    <n v="75510568"/>
    <n v="57972112"/>
    <m/>
    <n v="46000000"/>
  </r>
  <r>
    <n v="902"/>
    <s v="Constantine"/>
    <n v="10"/>
    <x v="6"/>
    <x v="17"/>
    <n v="15115"/>
    <s v="Laz Alonso"/>
    <s v="No"/>
    <n v="75500759"/>
    <n v="145618733"/>
    <m/>
    <n v="75000000"/>
  </r>
  <r>
    <n v="903"/>
    <s v="The Horse Whisperer"/>
    <n v="10"/>
    <x v="6"/>
    <x v="31"/>
    <n v="14080"/>
    <s v="Jessalyn Gilsig"/>
    <s v="No"/>
    <n v="75370763"/>
    <n v="111500000"/>
    <m/>
    <n v="60000000"/>
  </r>
  <r>
    <n v="904"/>
    <s v="Garfield"/>
    <n v="10"/>
    <x v="6"/>
    <x v="7"/>
    <n v="11020"/>
    <s v="Breckin Meyer"/>
    <s v="No"/>
    <n v="75367693"/>
    <n v="132726857"/>
    <m/>
    <n v="50000000"/>
  </r>
  <r>
    <n v="905"/>
    <s v="Ray"/>
    <n v="20"/>
    <x v="5"/>
    <x v="7"/>
    <n v="13735"/>
    <s v="Jamie Foxx"/>
    <s v="No"/>
    <n v="75305995"/>
    <n v="420104041"/>
    <m/>
    <n v="150000000"/>
  </r>
  <r>
    <n v="906"/>
    <s v="Coraline"/>
    <n v="60"/>
    <x v="3"/>
    <x v="0"/>
    <n v="17260"/>
    <s v="Robert Bailey, Jr."/>
    <s v="No"/>
    <n v="75286229"/>
    <n v="86200000"/>
    <m/>
    <n v="14000000"/>
  </r>
  <r>
    <n v="907"/>
    <s v="Old School"/>
    <n v="10"/>
    <x v="6"/>
    <x v="16"/>
    <n v="15385"/>
    <s v="Luke Wilson"/>
    <s v="No"/>
    <n v="75155000"/>
    <n v="119600000"/>
    <m/>
    <n v="27500000"/>
  </r>
  <r>
    <n v="908"/>
    <s v="Romancing the Stone"/>
    <n v="10"/>
    <x v="6"/>
    <x v="29"/>
    <n v="15985"/>
    <s v="Michael Douglas"/>
    <s v="No"/>
    <n v="75078260"/>
    <n v="172500000"/>
    <m/>
    <n v="0"/>
  </r>
  <r>
    <n v="909"/>
    <s v="The Exorcism of Emily Rose"/>
    <n v="20"/>
    <x v="5"/>
    <x v="17"/>
    <n v="13225"/>
    <s v="Henry Czerny"/>
    <s v="No"/>
    <n v="75072454"/>
    <n v="69456624"/>
    <m/>
    <n v="18000000"/>
  </r>
  <r>
    <n v="910"/>
    <s v="Eragon"/>
    <n v="40"/>
    <x v="4"/>
    <x v="10"/>
    <n v="12880"/>
    <s v="Gary Lewis"/>
    <s v="No"/>
    <n v="75030163"/>
    <n v="174457952"/>
    <m/>
    <n v="100000000"/>
  </r>
  <r>
    <n v="911"/>
    <s v="Star Trek VI: The Undiscovered Country"/>
    <n v="80"/>
    <x v="0"/>
    <x v="30"/>
    <n v="19225"/>
    <s v="William Shatner"/>
    <s v="Yes"/>
    <n v="74888996"/>
    <n v="238200000"/>
    <m/>
    <n v="190000000"/>
  </r>
  <r>
    <n v="912"/>
    <s v="The Prince of Tides"/>
    <n v="10"/>
    <x v="6"/>
    <x v="30"/>
    <n v="10570"/>
    <s v="Barbra Streisand"/>
    <s v="No"/>
    <n v="74787599"/>
    <n v="117200000"/>
    <m/>
    <n v="60000000"/>
  </r>
  <r>
    <n v="913"/>
    <s v="Poltergeist"/>
    <n v="40"/>
    <x v="4"/>
    <x v="8"/>
    <n v="11650"/>
    <s v="Craig T. Nelson"/>
    <s v="No"/>
    <n v="74706019"/>
    <n v="77900000"/>
    <m/>
    <n v="30000000"/>
  </r>
  <r>
    <n v="914"/>
    <s v="Ladder 49"/>
    <n v="10"/>
    <x v="6"/>
    <x v="7"/>
    <n v="10555"/>
    <s v="Balthazar Getty"/>
    <s v="No"/>
    <n v="74541707"/>
    <n v="55839136"/>
    <m/>
    <n v="3400000"/>
  </r>
  <r>
    <n v="915"/>
    <s v="Four Brothers"/>
    <n v="10"/>
    <x v="6"/>
    <x v="17"/>
    <n v="18445"/>
    <s v="Taraji P. Henson"/>
    <s v="No"/>
    <n v="74494381"/>
    <n v="349706026"/>
    <m/>
    <n v="55000000"/>
  </r>
  <r>
    <n v="916"/>
    <s v="WarGames"/>
    <n v="80"/>
    <x v="0"/>
    <x v="21"/>
    <n v="15745"/>
    <s v="Matthew Broderick"/>
    <s v="No"/>
    <n v="74433837"/>
    <n v="372556181"/>
    <m/>
    <n v="132000000"/>
  </r>
  <r>
    <n v="917"/>
    <s v="Six Days, Seven Nights"/>
    <n v="10"/>
    <x v="6"/>
    <x v="31"/>
    <n v="13120"/>
    <s v="Harrison Ford"/>
    <s v="No"/>
    <n v="74292149"/>
    <n v="90460706"/>
    <m/>
    <n v="80000000"/>
  </r>
  <r>
    <n v="918"/>
    <s v="No Country for Old Men"/>
    <n v="50"/>
    <x v="1"/>
    <x v="19"/>
    <n v="13855"/>
    <s v="Javier Bardem"/>
    <s v="No"/>
    <n v="74273505"/>
    <n v="89777745"/>
    <s v="Y"/>
    <n v="25000000"/>
  </r>
  <r>
    <n v="919"/>
    <s v="Jack and Jill"/>
    <n v="10"/>
    <x v="6"/>
    <x v="13"/>
    <n v="14740"/>
    <s v="Katie Holmes"/>
    <s v="No"/>
    <n v="74158157"/>
    <n v="76361060"/>
    <m/>
    <n v="79000000"/>
  </r>
  <r>
    <n v="920"/>
    <s v="Sin City"/>
    <n v="40"/>
    <x v="4"/>
    <x v="17"/>
    <n v="11095"/>
    <s v="Bruce Willis"/>
    <s v="No"/>
    <n v="74103820"/>
    <n v="84650000"/>
    <m/>
    <n v="40000000"/>
  </r>
  <r>
    <n v="921"/>
    <s v="Along Came a Spider"/>
    <n v="10"/>
    <x v="6"/>
    <x v="20"/>
    <n v="10405"/>
    <s v="Anna Maria Horsford"/>
    <s v="No"/>
    <n v="74058698"/>
    <n v="98156207"/>
    <m/>
    <n v="17000000"/>
  </r>
  <r>
    <n v="922"/>
    <s v="Goosebumps"/>
    <n v="40"/>
    <x v="4"/>
    <x v="59"/>
    <n v="13405"/>
    <s v="Jack Black"/>
    <s v="No"/>
    <n v="73923321"/>
    <n v="87500000"/>
    <m/>
    <n v="10000000"/>
  </r>
  <r>
    <n v="923"/>
    <s v="Hugo"/>
    <n v="40"/>
    <x v="4"/>
    <x v="13"/>
    <n v="10645"/>
    <s v="Ben Kingsley"/>
    <s v="No"/>
    <n v="73864507"/>
    <n v="106183277"/>
    <m/>
    <n v="180000000"/>
  </r>
  <r>
    <n v="924"/>
    <s v="Christmas with the Kranks"/>
    <n v="10"/>
    <x v="6"/>
    <x v="7"/>
    <n v="11200"/>
    <s v="Caroline Rhea"/>
    <s v="No"/>
    <n v="73701902"/>
    <n v="81190583"/>
    <m/>
    <n v="25000000"/>
  </r>
  <r>
    <n v="925"/>
    <s v="The Jerk"/>
    <n v="10"/>
    <x v="6"/>
    <x v="52"/>
    <n v="17230"/>
    <s v="Rob Reiner"/>
    <s v="No"/>
    <n v="73691419"/>
    <n v="104400000"/>
    <m/>
    <n v="60000000"/>
  </r>
  <r>
    <n v="926"/>
    <s v="Monster House"/>
    <n v="60"/>
    <x v="3"/>
    <x v="10"/>
    <n v="16285"/>
    <s v="Mitchel Musso"/>
    <s v="No"/>
    <n v="73661010"/>
    <n v="67606360"/>
    <m/>
    <n v="75000000"/>
  </r>
  <r>
    <n v="927"/>
    <s v="Deep Blue Sea"/>
    <n v="10"/>
    <x v="6"/>
    <x v="5"/>
    <n v="12580"/>
    <s v="Erinn Bartlett"/>
    <s v="No"/>
    <n v="73648228"/>
    <n v="91400000"/>
    <m/>
    <n v="60000000"/>
  </r>
  <r>
    <n v="928"/>
    <s v="The Intern"/>
    <n v="10"/>
    <x v="6"/>
    <x v="2"/>
    <n v="17320"/>
    <s v="Robert De Niro"/>
    <s v="No"/>
    <n v="73565582"/>
    <n v="108600000"/>
    <m/>
    <n v="40000000"/>
  </r>
  <r>
    <n v="929"/>
    <s v="Law Abiding Citizen"/>
    <n v="10"/>
    <x v="6"/>
    <x v="0"/>
    <n v="13780"/>
    <s v="Jason Babinsky"/>
    <s v="No"/>
    <n v="73357727"/>
    <n v="57802054"/>
    <m/>
    <n v="53000000"/>
  </r>
  <r>
    <n v="930"/>
    <s v="Beetle Juice"/>
    <n v="40"/>
    <x v="4"/>
    <x v="40"/>
    <n v="15520"/>
    <s v="Mark Ettlinger"/>
    <s v="No"/>
    <n v="73326666"/>
    <n v="160963300"/>
    <m/>
    <n v="150000000"/>
  </r>
  <r>
    <n v="931"/>
    <s v="Spirit: Stallion of the Cimarron"/>
    <n v="60"/>
    <x v="3"/>
    <x v="14"/>
    <n v="13570"/>
    <s v="James Cromwell"/>
    <s v="No"/>
    <n v="73215310"/>
    <n v="554345000"/>
    <m/>
    <n v="258000000"/>
  </r>
  <r>
    <n v="932"/>
    <s v="Hollow Man"/>
    <n v="80"/>
    <x v="0"/>
    <x v="25"/>
    <n v="14275"/>
    <s v="Joey Slotnick"/>
    <s v="No"/>
    <n v="73209340"/>
    <n v="117990660"/>
    <m/>
    <n v="90000000"/>
  </r>
  <r>
    <n v="933"/>
    <s v="White House Down"/>
    <n v="10"/>
    <x v="6"/>
    <x v="9"/>
    <n v="11290"/>
    <s v="Channing Tatum"/>
    <s v="No"/>
    <n v="73103784"/>
    <n v="132336603"/>
    <m/>
    <n v="150000000"/>
  </r>
  <r>
    <n v="934"/>
    <s v="John Carter"/>
    <n v="80"/>
    <x v="0"/>
    <x v="13"/>
    <n v="18460"/>
    <s v="Taylor Kitsch"/>
    <s v="No"/>
    <n v="73058679"/>
    <n v="209719421"/>
    <m/>
    <n v="275000000"/>
  </r>
  <r>
    <n v="935"/>
    <s v="Hotel for Dogs"/>
    <n v="60"/>
    <x v="3"/>
    <x v="0"/>
    <n v="17440"/>
    <s v="Robinne Lee"/>
    <s v="No"/>
    <n v="73034460"/>
    <n v="94829853"/>
    <m/>
    <n v="0"/>
  </r>
  <r>
    <n v="936"/>
    <s v="Dinner for Schmucks"/>
    <n v="10"/>
    <x v="6"/>
    <x v="12"/>
    <n v="17515"/>
    <s v="Ron Livingston"/>
    <s v="No"/>
    <n v="73026337"/>
    <n v="266089167"/>
    <m/>
    <n v="90000000"/>
  </r>
  <r>
    <n v="937"/>
    <s v="Justin Bieber: Never Say Never"/>
    <n v="30"/>
    <x v="7"/>
    <x v="12"/>
    <n v="14620"/>
    <s v="Justin Bieber"/>
    <s v="No"/>
    <n v="73013910"/>
    <n v="111946844"/>
    <m/>
    <n v="80000000"/>
  </r>
  <r>
    <n v="938"/>
    <s v="Ben-Hur"/>
    <n v="50"/>
    <x v="1"/>
    <x v="60"/>
    <n v="17710"/>
    <s v="Sam Jaffe"/>
    <s v="No"/>
    <n v="73000000"/>
    <n v="160963300"/>
    <s v="Y"/>
    <n v="150000000"/>
  </r>
  <r>
    <n v="939"/>
    <s v="Barnyard: The Original Party Animals"/>
    <n v="60"/>
    <x v="3"/>
    <x v="10"/>
    <n v="16930"/>
    <s v="Phil Proctor"/>
    <s v="No"/>
    <n v="72779000"/>
    <n v="165203000"/>
    <m/>
    <n v="0"/>
  </r>
  <r>
    <n v="940"/>
    <s v="Jackass: Number Two"/>
    <n v="30"/>
    <x v="7"/>
    <x v="10"/>
    <n v="11920"/>
    <s v="Dave England"/>
    <s v="Yes"/>
    <n v="72778712"/>
    <n v="58900000"/>
    <m/>
    <n v="15000000"/>
  </r>
  <r>
    <n v="941"/>
    <s v="Hercules"/>
    <n v="40"/>
    <x v="4"/>
    <x v="9"/>
    <n v="12355"/>
    <s v="Dwayne Johnson"/>
    <s v="No"/>
    <n v="72688614"/>
    <n v="170700000"/>
    <m/>
    <n v="100000000"/>
  </r>
  <r>
    <n v="942"/>
    <s v="The Interpreter"/>
    <n v="10"/>
    <x v="6"/>
    <x v="17"/>
    <n v="16495"/>
    <s v="Nicole Kidman"/>
    <s v="No"/>
    <n v="72515360"/>
    <n v="90045676"/>
    <m/>
    <n v="90000000"/>
  </r>
  <r>
    <n v="943"/>
    <s v="Dolphin Tale"/>
    <n v="20"/>
    <x v="5"/>
    <x v="13"/>
    <n v="13135"/>
    <s v="Harry Connick, Jr."/>
    <s v="No"/>
    <n v="72286779"/>
    <n v="53464968"/>
    <m/>
    <n v="30000000"/>
  </r>
  <r>
    <n v="944"/>
    <s v="Vantage Point"/>
    <n v="10"/>
    <x v="6"/>
    <x v="4"/>
    <n v="15760"/>
    <s v="Matthew Fox"/>
    <s v="No"/>
    <n v="72266306"/>
    <n v="78620023"/>
    <m/>
    <n v="40000000"/>
  </r>
  <r>
    <n v="945"/>
    <s v="I Know What You Did Last Summer"/>
    <n v="10"/>
    <x v="6"/>
    <x v="1"/>
    <n v="16690"/>
    <s v="Patti D'Arbanville"/>
    <s v="No"/>
    <n v="72219395"/>
    <n v="91094722"/>
    <m/>
    <n v="50000000"/>
  </r>
  <r>
    <n v="946"/>
    <s v="Michael Jackson's This Is It"/>
    <n v="30"/>
    <x v="7"/>
    <x v="0"/>
    <n v="16075"/>
    <s v="Michael Jackson"/>
    <s v="No"/>
    <n v="72091016"/>
    <n v="180000000"/>
    <m/>
    <n v="60000000"/>
  </r>
  <r>
    <n v="947"/>
    <s v="Fred Claus"/>
    <n v="10"/>
    <x v="6"/>
    <x v="19"/>
    <n v="17470"/>
    <s v="Roger Clinton"/>
    <s v="No"/>
    <n v="72006777"/>
    <n v="50600000"/>
    <m/>
    <n v="26000000"/>
  </r>
  <r>
    <n v="948"/>
    <s v="My Fair Lady"/>
    <n v="50"/>
    <x v="1"/>
    <x v="51"/>
    <n v="10540"/>
    <s v="Audrey Hepburn"/>
    <s v="No"/>
    <n v="72000000"/>
    <n v="133451826"/>
    <s v="Y"/>
    <n v="5000000"/>
  </r>
  <r>
    <n v="949"/>
    <s v="1408"/>
    <n v="10"/>
    <x v="6"/>
    <x v="19"/>
    <n v="15175"/>
    <s v="Len Cariou"/>
    <s v="No"/>
    <n v="71975611"/>
    <n v="59277742"/>
    <m/>
    <n v="22500000"/>
  </r>
  <r>
    <n v="950"/>
    <s v="The Last of the Mohicans"/>
    <n v="50"/>
    <x v="1"/>
    <x v="33"/>
    <n v="12025"/>
    <s v="David Schofield"/>
    <s v="No"/>
    <n v="71759298"/>
    <n v="187941694"/>
    <m/>
    <n v="150000000"/>
  </r>
  <r>
    <n v="951"/>
    <s v="Get Shorty"/>
    <n v="10"/>
    <x v="6"/>
    <x v="36"/>
    <n v="13150"/>
    <s v="Harvey Keitel"/>
    <s v="No"/>
    <n v="71752669"/>
    <n v="173381071"/>
    <m/>
    <n v="150000000"/>
  </r>
  <r>
    <n v="952"/>
    <s v="Mama"/>
    <n v="40"/>
    <x v="4"/>
    <x v="3"/>
    <n v="14125"/>
    <s v="Jessica Chastain"/>
    <s v="No"/>
    <n v="71628180"/>
    <n v="76467386"/>
    <m/>
    <n v="15000000"/>
  </r>
  <r>
    <n v="953"/>
    <s v="Ace Ventura: Pet Detective"/>
    <n v="10"/>
    <x v="6"/>
    <x v="11"/>
    <n v="17065"/>
    <s v="Randall 'Tex' Cobb"/>
    <s v="No"/>
    <n v="71602138"/>
    <n v="102300000"/>
    <m/>
    <n v="30000000"/>
  </r>
  <r>
    <n v="954"/>
    <s v="The Purge: Anarchy"/>
    <n v="80"/>
    <x v="0"/>
    <x v="18"/>
    <n v="12730"/>
    <s v="Frank Grillo"/>
    <s v="Yes"/>
    <n v="71562550"/>
    <n v="150751686"/>
    <m/>
    <n v="40000000"/>
  </r>
  <r>
    <n v="955"/>
    <s v="Sideways"/>
    <n v="10"/>
    <x v="6"/>
    <x v="7"/>
    <n v="18535"/>
    <s v="Thomas Haden Church"/>
    <s v="No"/>
    <n v="71502303"/>
    <n v="171448848"/>
    <m/>
    <n v="80000000"/>
  </r>
  <r>
    <n v="956"/>
    <s v="Bridget Jones's Diary"/>
    <n v="10"/>
    <x v="6"/>
    <x v="20"/>
    <n v="12895"/>
    <s v="Gemma Jones"/>
    <s v="No"/>
    <n v="71500556"/>
    <n v="210026602"/>
    <m/>
    <n v="25000000"/>
  </r>
  <r>
    <n v="957"/>
    <s v="Grumpier Old Men"/>
    <n v="10"/>
    <x v="6"/>
    <x v="36"/>
    <n v="18115"/>
    <s v="Sophia Loren"/>
    <s v="Yes"/>
    <n v="71499832"/>
    <n v="113355283"/>
    <m/>
    <n v="80000000"/>
  </r>
  <r>
    <n v="958"/>
    <s v="The Bridges of Madison County"/>
    <n v="50"/>
    <x v="1"/>
    <x v="36"/>
    <n v="10450"/>
    <s v="Annie Corley"/>
    <s v="No"/>
    <n v="71477088"/>
    <n v="104000000"/>
    <m/>
    <n v="22000000"/>
  </r>
  <r>
    <n v="959"/>
    <s v="R.V."/>
    <n v="10"/>
    <x v="6"/>
    <x v="10"/>
    <n v="17425"/>
    <s v="Robin Williams"/>
    <s v="No"/>
    <n v="71452035"/>
    <n v="422323651"/>
    <m/>
    <n v="230000000"/>
  </r>
  <r>
    <n v="960"/>
    <s v="I Love You, Man"/>
    <n v="10"/>
    <x v="6"/>
    <x v="0"/>
    <n v="13390"/>
    <s v="J.K. Simmons"/>
    <s v="No"/>
    <n v="71440011"/>
    <n v="91094722"/>
    <m/>
    <n v="50000000"/>
  </r>
  <r>
    <n v="961"/>
    <s v="Galaxy Quest"/>
    <n v="80"/>
    <x v="0"/>
    <x v="5"/>
    <n v="19105"/>
    <s v="Wayne Pere"/>
    <s v="No"/>
    <n v="71423726"/>
    <n v="190222267"/>
    <m/>
    <n v="34000000"/>
  </r>
  <r>
    <n v="962"/>
    <s v="Safe Haven"/>
    <n v="10"/>
    <x v="6"/>
    <x v="13"/>
    <n v="14470"/>
    <s v="Josh Duhamel"/>
    <s v="No"/>
    <n v="71399120"/>
    <n v="90277151"/>
    <m/>
    <n v="70000000"/>
  </r>
  <r>
    <n v="963"/>
    <s v="Stargate"/>
    <n v="80"/>
    <x v="0"/>
    <x v="11"/>
    <n v="13690"/>
    <s v="James Spader"/>
    <s v="No"/>
    <n v="71346004"/>
    <n v="125000000"/>
    <m/>
    <n v="55000000"/>
  </r>
  <r>
    <n v="964"/>
    <s v="3 Men and a Little Lady"/>
    <n v="10"/>
    <x v="6"/>
    <x v="24"/>
    <n v="12655"/>
    <s v="Fiona Shaw"/>
    <s v="Yes"/>
    <n v="71338379"/>
    <n v="0"/>
    <m/>
    <n v="15000000"/>
  </r>
  <r>
    <n v="965"/>
    <s v="National Lampoon's Christmas Vacation"/>
    <n v="10"/>
    <x v="6"/>
    <x v="27"/>
    <n v="12175"/>
    <s v="Diane Ladd"/>
    <s v="Yes"/>
    <n v="71319546"/>
    <n v="0"/>
    <m/>
    <n v="3000000"/>
  </r>
  <r>
    <n v="966"/>
    <s v="Chocolat"/>
    <n v="50"/>
    <x v="1"/>
    <x v="25"/>
    <n v="14335"/>
    <s v="John Wood"/>
    <s v="No"/>
    <n v="71309760"/>
    <n v="81190583"/>
    <m/>
    <n v="25000000"/>
  </r>
  <r>
    <n v="967"/>
    <s v="Scary Movie 2"/>
    <n v="10"/>
    <x v="6"/>
    <x v="20"/>
    <n v="10375"/>
    <s v="Anna Faris"/>
    <s v="Yes"/>
    <n v="71277420"/>
    <n v="69911681"/>
    <m/>
    <n v="45000000"/>
  </r>
  <r>
    <n v="968"/>
    <s v="Star Trek III: The Search for Spock"/>
    <n v="80"/>
    <x v="0"/>
    <x v="29"/>
    <n v="19225"/>
    <s v="William Shatner"/>
    <s v="Yes"/>
    <n v="71273785"/>
    <n v="127950427"/>
    <m/>
    <n v="140000000"/>
  </r>
  <r>
    <n v="969"/>
    <s v="The Spiderwick Chronicles"/>
    <n v="40"/>
    <x v="4"/>
    <x v="4"/>
    <n v="12805"/>
    <s v="Freddie Highmore"/>
    <s v="No"/>
    <n v="71195053"/>
    <n v="91644614"/>
    <m/>
    <n v="92500000"/>
  </r>
  <r>
    <n v="970"/>
    <s v="The Score"/>
    <n v="10"/>
    <x v="6"/>
    <x v="20"/>
    <n v="17320"/>
    <s v="Robert De Niro"/>
    <s v="No"/>
    <n v="71069884"/>
    <n v="33600000"/>
    <m/>
    <n v="65000000"/>
  </r>
  <r>
    <n v="971"/>
    <s v="Paul Blart: Mall Cop 2"/>
    <n v="10"/>
    <x v="6"/>
    <x v="2"/>
    <n v="17020"/>
    <s v="Raini Rodriguez"/>
    <s v="Yes"/>
    <n v="71038190"/>
    <n v="39568572"/>
    <m/>
    <n v="26000000"/>
  </r>
  <r>
    <n v="972"/>
    <s v="John Q"/>
    <n v="10"/>
    <x v="6"/>
    <x v="14"/>
    <n v="15085"/>
    <s v="Larry King"/>
    <s v="No"/>
    <n v="71026631"/>
    <n v="209719421"/>
    <m/>
    <n v="275000000"/>
  </r>
  <r>
    <n v="973"/>
    <s v="The Smurfs 2"/>
    <n v="60"/>
    <x v="3"/>
    <x v="9"/>
    <n v="13090"/>
    <s v="Hank Azaria"/>
    <s v="Yes"/>
    <n v="71017784"/>
    <n v="277529739"/>
    <m/>
    <n v="110000000"/>
  </r>
  <r>
    <n v="974"/>
    <s v="Bird on a Wire"/>
    <n v="10"/>
    <x v="6"/>
    <x v="24"/>
    <n v="14185"/>
    <s v="Joan Severance"/>
    <s v="No"/>
    <n v="70978012"/>
    <n v="67719000"/>
    <m/>
    <n v="0"/>
  </r>
  <r>
    <n v="975"/>
    <s v="The Naked Gun: From the Files of Police Squad!"/>
    <n v="10"/>
    <x v="6"/>
    <x v="40"/>
    <n v="15220"/>
    <s v="Leslie Nielsen"/>
    <s v="No"/>
    <n v="70956485"/>
    <n v="72346000"/>
    <m/>
    <n v="45000000"/>
  </r>
  <r>
    <n v="976"/>
    <s v="Shallow Hal"/>
    <n v="10"/>
    <x v="6"/>
    <x v="20"/>
    <n v="13075"/>
    <s v="Gwyneth Paltrow"/>
    <s v="No"/>
    <n v="70836296"/>
    <n v="179182206"/>
    <m/>
    <n v="26000000"/>
  </r>
  <r>
    <n v="977"/>
    <s v="Any Which Way You Can"/>
    <n v="10"/>
    <x v="6"/>
    <x v="23"/>
    <n v="13630"/>
    <s v="James Gammon"/>
    <s v="Yes"/>
    <n v="70687344"/>
    <n v="61700000"/>
    <m/>
    <n v="60000000"/>
  </r>
  <r>
    <n v="978"/>
    <s v="No Strings Attached"/>
    <n v="10"/>
    <x v="6"/>
    <x v="12"/>
    <n v="16390"/>
    <s v="Natalie Portman"/>
    <s v="No"/>
    <n v="70662220"/>
    <n v="78565858"/>
    <m/>
    <n v="25000000"/>
  </r>
  <r>
    <n v="979"/>
    <s v="Broken Arrow"/>
    <n v="10"/>
    <x v="6"/>
    <x v="22"/>
    <n v="16615"/>
    <s v="Ousaun Elam"/>
    <s v="No"/>
    <n v="70640985"/>
    <n v="77700000"/>
    <m/>
    <n v="65000000"/>
  </r>
  <r>
    <n v="980"/>
    <s v="The Best Man Holiday"/>
    <n v="10"/>
    <x v="6"/>
    <x v="9"/>
    <n v="16330"/>
    <s v="Morris Chestnut"/>
    <s v="Yes"/>
    <n v="70525195"/>
    <n v="88256141"/>
    <m/>
    <n v="10000000"/>
  </r>
  <r>
    <n v="981"/>
    <s v="V for Vendetta"/>
    <n v="80"/>
    <x v="0"/>
    <x v="10"/>
    <n v="16390"/>
    <s v="Natalie Portman"/>
    <s v="No"/>
    <n v="70511035"/>
    <n v="83019358"/>
    <m/>
    <n v="30000000"/>
  </r>
  <r>
    <n v="982"/>
    <s v="Mortal Kombat"/>
    <n v="40"/>
    <x v="4"/>
    <x v="36"/>
    <n v="11080"/>
    <s v="Bridgette Wilson"/>
    <s v="No"/>
    <n v="70423929"/>
    <n v="140000000"/>
    <m/>
    <n v="31000000"/>
  </r>
  <r>
    <n v="983"/>
    <s v="JFK"/>
    <n v="20"/>
    <x v="5"/>
    <x v="30"/>
    <n v="11740"/>
    <s v="Dale Dye"/>
    <s v="No"/>
    <n v="70405498"/>
    <n v="134994502"/>
    <m/>
    <n v="40000000"/>
  </r>
  <r>
    <n v="984"/>
    <s v="Shaft"/>
    <n v="10"/>
    <x v="6"/>
    <x v="25"/>
    <n v="17755"/>
    <s v="Samuel L. Jackson"/>
    <s v="No"/>
    <n v="70327868"/>
    <n v="199333086"/>
    <m/>
    <n v="95000000"/>
  </r>
  <r>
    <n v="985"/>
    <s v="Moonraker"/>
    <n v="10"/>
    <x v="6"/>
    <x v="52"/>
    <n v="10705"/>
    <s v="Bernard Lee"/>
    <s v="Yes"/>
    <n v="70300000"/>
    <n v="140000000"/>
    <m/>
    <n v="31000000"/>
  </r>
  <r>
    <n v="986"/>
    <s v="World Trade Center"/>
    <n v="20"/>
    <x v="5"/>
    <x v="10"/>
    <n v="16465"/>
    <s v="Nicolas Cage"/>
    <s v="No"/>
    <n v="70278893"/>
    <n v="93016761"/>
    <m/>
    <n v="65000000"/>
  </r>
  <r>
    <n v="987"/>
    <s v="Rocky Balboa"/>
    <n v="10"/>
    <x v="6"/>
    <x v="10"/>
    <n v="18385"/>
    <s v="Sylvester Stallone"/>
    <s v="Yes"/>
    <n v="70269899"/>
    <n v="85959151"/>
    <m/>
    <n v="24000000"/>
  </r>
  <r>
    <n v="988"/>
    <s v="Fool's Gold"/>
    <n v="10"/>
    <x v="6"/>
    <x v="4"/>
    <n v="12625"/>
    <s v="Ewen Bremner"/>
    <s v="No"/>
    <n v="70231041"/>
    <n v="100500000"/>
    <m/>
    <n v="65000000"/>
  </r>
  <r>
    <n v="989"/>
    <s v="Star Trek: Insurrection"/>
    <n v="80"/>
    <x v="0"/>
    <x v="31"/>
    <n v="16660"/>
    <s v="Patrick Stewart"/>
    <s v="Yes"/>
    <n v="70177571"/>
    <n v="57972112"/>
    <m/>
    <n v="46000000"/>
  </r>
  <r>
    <n v="990"/>
    <s v="Grumpy Old Men"/>
    <n v="10"/>
    <x v="6"/>
    <x v="15"/>
    <n v="11500"/>
    <s v="Christopher McDonald"/>
    <s v="No"/>
    <n v="70172621"/>
    <n v="113355283"/>
    <m/>
    <n v="80000000"/>
  </r>
  <r>
    <n v="991"/>
    <s v="Big Momma's House 2"/>
    <n v="10"/>
    <x v="6"/>
    <x v="10"/>
    <n v="19285"/>
    <s v="Zachary Levi"/>
    <s v="Yes"/>
    <n v="70165972"/>
    <n v="66881404"/>
    <m/>
    <n v="40000000"/>
  </r>
  <r>
    <n v="992"/>
    <s v="Turner &amp; Hooch"/>
    <n v="10"/>
    <x v="6"/>
    <x v="27"/>
    <n v="18760"/>
    <s v="Tom Hanks"/>
    <s v="No"/>
    <n v="70131974"/>
    <n v="203868448"/>
    <m/>
    <n v="135000000"/>
  </r>
  <r>
    <n v="993"/>
    <s v="The Golden Compass"/>
    <n v="40"/>
    <x v="4"/>
    <x v="19"/>
    <n v="12145"/>
    <s v="Derek Jacobi"/>
    <s v="No"/>
    <n v="70107728"/>
    <n v="297154830"/>
    <m/>
    <n v="205000000"/>
  </r>
  <r>
    <n v="994"/>
    <s v="Kill Bill: Volume 1"/>
    <n v="10"/>
    <x v="6"/>
    <x v="16"/>
    <n v="14590"/>
    <s v="Julie Dreyfus"/>
    <s v="No"/>
    <n v="70098138"/>
    <n v="106371290"/>
    <m/>
    <n v="55000000"/>
  </r>
  <r>
    <n v="995"/>
    <s v="Act of Valor"/>
    <n v="10"/>
    <x v="6"/>
    <x v="13"/>
    <n v="17530"/>
    <s v="Roselyn Sanchez"/>
    <s v="No"/>
    <n v="70012847"/>
    <n v="104039937"/>
    <m/>
    <n v="30000000"/>
  </r>
  <r>
    <n v="996"/>
    <s v="Blade"/>
    <n v="90"/>
    <x v="2"/>
    <x v="31"/>
    <n v="18985"/>
    <s v="Udo Kier"/>
    <s v="No"/>
    <n v="70001065"/>
    <n v="61095812"/>
    <m/>
    <n v="45000000"/>
  </r>
  <r>
    <n v="997"/>
    <s v="Seven Pounds"/>
    <n v="10"/>
    <x v="6"/>
    <x v="4"/>
    <n v="19165"/>
    <s v="Will Smith"/>
    <s v="No"/>
    <n v="69951824"/>
    <n v="96665504"/>
    <m/>
    <n v="54000000"/>
  </r>
  <r>
    <n v="998"/>
    <s v="Private Benjamin"/>
    <n v="10"/>
    <x v="6"/>
    <x v="23"/>
    <n v="13000"/>
    <s v="Goldie Hawn"/>
    <s v="No"/>
    <n v="69847348"/>
    <n v="223834921"/>
    <m/>
    <n v="200000000"/>
  </r>
  <r>
    <n v="999"/>
    <s v="Swordfish"/>
    <n v="10"/>
    <x v="6"/>
    <x v="20"/>
    <n v="14320"/>
    <s v="John Travolta"/>
    <s v="No"/>
    <n v="69772969"/>
    <n v="77307444"/>
    <m/>
    <n v="80000000"/>
  </r>
  <r>
    <n v="1000"/>
    <s v="The Best Little Whorehouse in Texas"/>
    <n v="10"/>
    <x v="6"/>
    <x v="8"/>
    <n v="12250"/>
    <s v="Dolly Parton"/>
    <s v="No"/>
    <n v="69701637"/>
    <n v="88256141"/>
    <m/>
    <n v="1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80"/>
    <x v="0"/>
    <x v="0"/>
    <n v="12235"/>
    <x v="0"/>
    <s v="No"/>
    <n v="760507625"/>
    <x v="0"/>
    <x v="0"/>
    <n v="425000000"/>
  </r>
  <r>
    <n v="2"/>
    <x v="1"/>
    <n v="50"/>
    <x v="1"/>
    <x v="1"/>
    <n v="15205"/>
    <x v="1"/>
    <s v="No"/>
    <n v="658672302"/>
    <x v="1"/>
    <x v="0"/>
    <n v="200000000"/>
  </r>
  <r>
    <n v="3"/>
    <x v="2"/>
    <n v="80"/>
    <x v="0"/>
    <x v="2"/>
    <n v="11410"/>
    <x v="2"/>
    <s v="Yes"/>
    <n v="652188220"/>
    <x v="2"/>
    <x v="0"/>
    <n v="215000000"/>
  </r>
  <r>
    <n v="4"/>
    <x v="3"/>
    <n v="90"/>
    <x v="2"/>
    <x v="3"/>
    <n v="17830"/>
    <x v="3"/>
    <s v="No"/>
    <n v="623279547"/>
    <x v="3"/>
    <x v="0"/>
    <n v="225000000"/>
  </r>
  <r>
    <n v="5"/>
    <x v="4"/>
    <n v="90"/>
    <x v="2"/>
    <x v="4"/>
    <n v="11545"/>
    <x v="4"/>
    <s v="Yes"/>
    <n v="533345358"/>
    <x v="4"/>
    <x v="0"/>
    <n v="185000000"/>
  </r>
  <r>
    <n v="6"/>
    <x v="5"/>
    <n v="80"/>
    <x v="0"/>
    <x v="5"/>
    <n v="10270"/>
    <x v="5"/>
    <s v="Yes"/>
    <n v="474544677"/>
    <x v="5"/>
    <x v="0"/>
    <n v="115000000"/>
  </r>
  <r>
    <n v="7"/>
    <x v="6"/>
    <n v="80"/>
    <x v="0"/>
    <x v="6"/>
    <n v="13120"/>
    <x v="6"/>
    <s v="No"/>
    <n v="460935665"/>
    <x v="6"/>
    <x v="0"/>
    <n v="11000000"/>
  </r>
  <r>
    <n v="8"/>
    <x v="7"/>
    <n v="90"/>
    <x v="2"/>
    <x v="2"/>
    <n v="11575"/>
    <x v="7"/>
    <s v="Yes"/>
    <n v="459005868"/>
    <x v="7"/>
    <x v="0"/>
    <n v="250000000"/>
  </r>
  <r>
    <n v="9"/>
    <x v="8"/>
    <n v="90"/>
    <x v="2"/>
    <x v="3"/>
    <n v="11455"/>
    <x v="8"/>
    <s v="Yes"/>
    <n v="448139099"/>
    <x v="8"/>
    <x v="0"/>
    <n v="275000000"/>
  </r>
  <r>
    <n v="10"/>
    <x v="9"/>
    <n v="60"/>
    <x v="3"/>
    <x v="7"/>
    <n v="16180"/>
    <x v="9"/>
    <s v="Yes"/>
    <n v="436471036"/>
    <x v="9"/>
    <x v="0"/>
    <n v="70000000"/>
  </r>
  <r>
    <n v="11"/>
    <x v="10"/>
    <n v="60"/>
    <x v="3"/>
    <x v="8"/>
    <n v="16000"/>
    <x v="10"/>
    <s v="No"/>
    <n v="434949459"/>
    <x v="10"/>
    <x v="0"/>
    <n v="10500000"/>
  </r>
  <r>
    <n v="12"/>
    <x v="11"/>
    <n v="80"/>
    <x v="0"/>
    <x v="9"/>
    <n v="16960"/>
    <x v="11"/>
    <s v="Yes"/>
    <n v="424668047"/>
    <x v="11"/>
    <x v="0"/>
    <n v="130000000"/>
  </r>
  <r>
    <n v="13"/>
    <x v="12"/>
    <n v="40"/>
    <x v="4"/>
    <x v="10"/>
    <n v="14350"/>
    <x v="12"/>
    <s v="Yes"/>
    <n v="423315812"/>
    <x v="12"/>
    <x v="0"/>
    <n v="225000000"/>
  </r>
  <r>
    <n v="14"/>
    <x v="13"/>
    <n v="60"/>
    <x v="3"/>
    <x v="11"/>
    <n v="17560"/>
    <x v="13"/>
    <s v="No"/>
    <n v="422780140"/>
    <x v="13"/>
    <x v="0"/>
    <n v="79300000"/>
  </r>
  <r>
    <n v="15"/>
    <x v="14"/>
    <n v="60"/>
    <x v="3"/>
    <x v="12"/>
    <n v="18580"/>
    <x v="14"/>
    <s v="Yes"/>
    <n v="415004880"/>
    <x v="14"/>
    <x v="0"/>
    <n v="200000000"/>
  </r>
  <r>
    <n v="16"/>
    <x v="15"/>
    <n v="90"/>
    <x v="2"/>
    <x v="3"/>
    <n v="17335"/>
    <x v="15"/>
    <s v="Yes"/>
    <n v="408992272"/>
    <x v="15"/>
    <x v="0"/>
    <n v="200000000"/>
  </r>
  <r>
    <n v="17"/>
    <x v="16"/>
    <n v="80"/>
    <x v="0"/>
    <x v="13"/>
    <n v="19120"/>
    <x v="16"/>
    <s v="No"/>
    <n v="408010692"/>
    <x v="16"/>
    <x v="0"/>
    <n v="80000000"/>
  </r>
  <r>
    <n v="18"/>
    <x v="17"/>
    <n v="90"/>
    <x v="2"/>
    <x v="14"/>
    <n v="18685"/>
    <x v="17"/>
    <s v="No"/>
    <n v="403706375"/>
    <x v="17"/>
    <x v="0"/>
    <n v="139000000"/>
  </r>
  <r>
    <n v="19"/>
    <x v="18"/>
    <n v="80"/>
    <x v="0"/>
    <x v="0"/>
    <n v="18055"/>
    <x v="18"/>
    <s v="Yes"/>
    <n v="402111870"/>
    <x v="18"/>
    <x v="0"/>
    <n v="210000000"/>
  </r>
  <r>
    <n v="20"/>
    <x v="19"/>
    <n v="60"/>
    <x v="3"/>
    <x v="9"/>
    <n v="14995"/>
    <x v="19"/>
    <s v="No"/>
    <n v="400738009"/>
    <x v="19"/>
    <x v="0"/>
    <n v="150000000"/>
  </r>
  <r>
    <n v="21"/>
    <x v="20"/>
    <n v="80"/>
    <x v="0"/>
    <x v="15"/>
    <n v="16165"/>
    <x v="20"/>
    <s v="No"/>
    <n v="395708305"/>
    <x v="20"/>
    <x v="0"/>
    <n v="63000000"/>
  </r>
  <r>
    <n v="22"/>
    <x v="21"/>
    <n v="40"/>
    <x v="4"/>
    <x v="13"/>
    <n v="14485"/>
    <x v="21"/>
    <s v="Yes"/>
    <n v="381011219"/>
    <x v="21"/>
    <x v="0"/>
    <n v="125000000"/>
  </r>
  <r>
    <n v="23"/>
    <x v="22"/>
    <n v="60"/>
    <x v="3"/>
    <x v="16"/>
    <n v="14425"/>
    <x v="22"/>
    <s v="No"/>
    <n v="380529370"/>
    <x v="22"/>
    <x v="0"/>
    <n v="94000000"/>
  </r>
  <r>
    <n v="24"/>
    <x v="23"/>
    <n v="80"/>
    <x v="0"/>
    <x v="17"/>
    <n v="13885"/>
    <x v="23"/>
    <s v="Yes"/>
    <n v="380270577"/>
    <x v="23"/>
    <x v="0"/>
    <n v="115000000"/>
  </r>
  <r>
    <n v="25"/>
    <x v="24"/>
    <n v="40"/>
    <x v="4"/>
    <x v="16"/>
    <n v="12445"/>
    <x v="24"/>
    <s v="Yes"/>
    <n v="377845905"/>
    <x v="24"/>
    <x v="1"/>
    <n v="94000000"/>
  </r>
  <r>
    <n v="26"/>
    <x v="25"/>
    <n v="90"/>
    <x v="2"/>
    <x v="7"/>
    <n v="18685"/>
    <x v="17"/>
    <s v="Yes"/>
    <n v="373524485"/>
    <x v="25"/>
    <x v="0"/>
    <n v="200000000"/>
  </r>
  <r>
    <n v="27"/>
    <x v="26"/>
    <n v="20"/>
    <x v="5"/>
    <x v="7"/>
    <n v="13555"/>
    <x v="25"/>
    <s v="No"/>
    <n v="370782930"/>
    <x v="26"/>
    <x v="0"/>
    <n v="25000000"/>
  </r>
  <r>
    <n v="28"/>
    <x v="27"/>
    <n v="60"/>
    <x v="3"/>
    <x v="9"/>
    <n v="18205"/>
    <x v="26"/>
    <s v="Yes"/>
    <n v="368065385"/>
    <x v="27"/>
    <x v="0"/>
    <n v="76000000"/>
  </r>
  <r>
    <n v="29"/>
    <x v="28"/>
    <n v="60"/>
    <x v="3"/>
    <x v="2"/>
    <n v="15235"/>
    <x v="27"/>
    <s v="No"/>
    <n v="356158534"/>
    <x v="28"/>
    <x v="0"/>
    <n v="175000000"/>
  </r>
  <r>
    <n v="30"/>
    <x v="29"/>
    <n v="80"/>
    <x v="0"/>
    <x v="13"/>
    <n v="18055"/>
    <x v="18"/>
    <s v="Yes"/>
    <n v="352390543"/>
    <x v="29"/>
    <x v="0"/>
    <n v="195000000"/>
  </r>
  <r>
    <n v="31"/>
    <x v="30"/>
    <n v="10"/>
    <x v="6"/>
    <x v="18"/>
    <n v="19060"/>
    <x v="28"/>
    <s v="Yes"/>
    <n v="351032910"/>
    <x v="30"/>
    <x v="0"/>
    <n v="190000000"/>
  </r>
  <r>
    <n v="32"/>
    <x v="31"/>
    <n v="20"/>
    <x v="5"/>
    <x v="2"/>
    <n v="10945"/>
    <x v="29"/>
    <s v="No"/>
    <n v="350126372"/>
    <x v="31"/>
    <x v="0"/>
    <n v="58000000"/>
  </r>
  <r>
    <n v="33"/>
    <x v="32"/>
    <n v="40"/>
    <x v="4"/>
    <x v="14"/>
    <n v="12445"/>
    <x v="24"/>
    <s v="Yes"/>
    <n v="342548984"/>
    <x v="32"/>
    <x v="0"/>
    <n v="94000000"/>
  </r>
  <r>
    <n v="34"/>
    <x v="33"/>
    <n v="80"/>
    <x v="0"/>
    <x v="18"/>
    <n v="13990"/>
    <x v="30"/>
    <s v="Yes"/>
    <n v="337135885"/>
    <x v="33"/>
    <x v="0"/>
    <n v="125000000"/>
  </r>
  <r>
    <n v="35"/>
    <x v="34"/>
    <n v="90"/>
    <x v="2"/>
    <x v="19"/>
    <n v="18685"/>
    <x v="17"/>
    <s v="Yes"/>
    <n v="336530303"/>
    <x v="34"/>
    <x v="0"/>
    <n v="258000000"/>
  </r>
  <r>
    <n v="36"/>
    <x v="35"/>
    <n v="60"/>
    <x v="3"/>
    <x v="18"/>
    <n v="14020"/>
    <x v="31"/>
    <s v="No"/>
    <n v="335501715"/>
    <x v="35"/>
    <x v="0"/>
    <n v="74000000"/>
  </r>
  <r>
    <n v="37"/>
    <x v="36"/>
    <n v="40"/>
    <x v="4"/>
    <x v="12"/>
    <n v="12745"/>
    <x v="32"/>
    <s v="No"/>
    <n v="334191110"/>
    <x v="36"/>
    <x v="0"/>
    <n v="200000000"/>
  </r>
  <r>
    <n v="38"/>
    <x v="37"/>
    <n v="90"/>
    <x v="2"/>
    <x v="18"/>
    <n v="11410"/>
    <x v="2"/>
    <s v="No"/>
    <n v="333172112"/>
    <x v="37"/>
    <x v="0"/>
    <n v="170000000"/>
  </r>
  <r>
    <n v="39"/>
    <x v="38"/>
    <n v="50"/>
    <x v="1"/>
    <x v="11"/>
    <n v="16360"/>
    <x v="33"/>
    <s v="No"/>
    <n v="330151138"/>
    <x v="38"/>
    <x v="1"/>
    <n v="55000000"/>
  </r>
  <r>
    <n v="40"/>
    <x v="39"/>
    <n v="60"/>
    <x v="3"/>
    <x v="19"/>
    <n v="16180"/>
    <x v="9"/>
    <s v="Yes"/>
    <n v="321012359"/>
    <x v="39"/>
    <x v="0"/>
    <n v="160000000"/>
  </r>
  <r>
    <n v="41"/>
    <x v="40"/>
    <n v="80"/>
    <x v="0"/>
    <x v="19"/>
    <n v="18055"/>
    <x v="18"/>
    <s v="No"/>
    <n v="319071806"/>
    <x v="40"/>
    <x v="0"/>
    <n v="151000000"/>
  </r>
  <r>
    <n v="42"/>
    <x v="41"/>
    <n v="90"/>
    <x v="2"/>
    <x v="4"/>
    <n v="17335"/>
    <x v="15"/>
    <s v="No"/>
    <n v="318604126"/>
    <x v="41"/>
    <x v="0"/>
    <n v="186000000"/>
  </r>
  <r>
    <n v="43"/>
    <x v="42"/>
    <n v="40"/>
    <x v="4"/>
    <x v="20"/>
    <n v="14485"/>
    <x v="21"/>
    <s v="No"/>
    <n v="317575550"/>
    <x v="42"/>
    <x v="0"/>
    <n v="125000000"/>
  </r>
  <r>
    <n v="44"/>
    <x v="43"/>
    <n v="50"/>
    <x v="1"/>
    <x v="4"/>
    <n v="14650"/>
    <x v="34"/>
    <s v="Yes"/>
    <n v="317023851"/>
    <x v="43"/>
    <x v="0"/>
    <n v="185000000"/>
  </r>
  <r>
    <n v="45"/>
    <x v="44"/>
    <n v="40"/>
    <x v="4"/>
    <x v="20"/>
    <n v="12445"/>
    <x v="24"/>
    <s v="No"/>
    <n v="315544750"/>
    <x v="44"/>
    <x v="0"/>
    <n v="109000000"/>
  </r>
  <r>
    <n v="46"/>
    <x v="45"/>
    <n v="90"/>
    <x v="2"/>
    <x v="12"/>
    <n v="13075"/>
    <x v="35"/>
    <s v="Yes"/>
    <n v="312128345"/>
    <x v="45"/>
    <x v="0"/>
    <n v="170000000"/>
  </r>
  <r>
    <n v="47"/>
    <x v="46"/>
    <n v="50"/>
    <x v="1"/>
    <x v="19"/>
    <n v="14350"/>
    <x v="12"/>
    <s v="Yes"/>
    <n v="309420425"/>
    <x v="46"/>
    <x v="0"/>
    <n v="300000000"/>
  </r>
  <r>
    <n v="48"/>
    <x v="47"/>
    <n v="80"/>
    <x v="0"/>
    <x v="21"/>
    <n v="13120"/>
    <x v="6"/>
    <s v="Yes"/>
    <n v="309125409"/>
    <x v="47"/>
    <x v="0"/>
    <n v="32500000"/>
  </r>
  <r>
    <n v="49"/>
    <x v="48"/>
    <n v="80"/>
    <x v="0"/>
    <x v="22"/>
    <n v="11815"/>
    <x v="36"/>
    <s v="No"/>
    <n v="306124059"/>
    <x v="48"/>
    <x v="0"/>
    <n v="75000000"/>
  </r>
  <r>
    <n v="50"/>
    <x v="49"/>
    <n v="40"/>
    <x v="4"/>
    <x v="16"/>
    <n v="14350"/>
    <x v="12"/>
    <s v="No"/>
    <n v="305411224"/>
    <x v="49"/>
    <x v="0"/>
    <n v="125000000"/>
  </r>
  <r>
    <n v="51"/>
    <x v="50"/>
    <n v="10"/>
    <x v="6"/>
    <x v="3"/>
    <n v="11830"/>
    <x v="37"/>
    <s v="Yes"/>
    <n v="304360277"/>
    <x v="50"/>
    <x v="0"/>
    <n v="200000000"/>
  </r>
  <r>
    <n v="52"/>
    <x v="51"/>
    <n v="40"/>
    <x v="4"/>
    <x v="3"/>
    <n v="13285"/>
    <x v="38"/>
    <s v="Yes"/>
    <n v="303003568"/>
    <x v="51"/>
    <x v="0"/>
    <n v="250000000"/>
  </r>
  <r>
    <n v="53"/>
    <x v="52"/>
    <n v="80"/>
    <x v="0"/>
    <x v="14"/>
    <n v="13885"/>
    <x v="23"/>
    <s v="Yes"/>
    <n v="302181125"/>
    <x v="52"/>
    <x v="0"/>
    <n v="115000000"/>
  </r>
  <r>
    <n v="54"/>
    <x v="53"/>
    <n v="40"/>
    <x v="4"/>
    <x v="0"/>
    <n v="12895"/>
    <x v="39"/>
    <s v="Yes"/>
    <n v="301959197"/>
    <x v="53"/>
    <x v="0"/>
    <n v="250000000"/>
  </r>
  <r>
    <n v="55"/>
    <x v="54"/>
    <n v="40"/>
    <x v="4"/>
    <x v="12"/>
    <n v="11710"/>
    <x v="40"/>
    <s v="Yes"/>
    <n v="300531751"/>
    <x v="54"/>
    <x v="0"/>
    <n v="68000000"/>
  </r>
  <r>
    <n v="56"/>
    <x v="55"/>
    <n v="40"/>
    <x v="4"/>
    <x v="0"/>
    <n v="15010"/>
    <x v="41"/>
    <s v="Yes"/>
    <n v="296623634"/>
    <x v="55"/>
    <x v="0"/>
    <n v="50000000"/>
  </r>
  <r>
    <n v="57"/>
    <x v="56"/>
    <n v="40"/>
    <x v="4"/>
    <x v="12"/>
    <n v="18655"/>
    <x v="42"/>
    <s v="Yes"/>
    <n v="295001070"/>
    <x v="56"/>
    <x v="0"/>
    <n v="125000000"/>
  </r>
  <r>
    <n v="58"/>
    <x v="57"/>
    <n v="40"/>
    <x v="4"/>
    <x v="5"/>
    <n v="11095"/>
    <x v="43"/>
    <s v="No"/>
    <n v="293506292"/>
    <x v="57"/>
    <x v="0"/>
    <n v="40000000"/>
  </r>
  <r>
    <n v="59"/>
    <x v="58"/>
    <n v="40"/>
    <x v="4"/>
    <x v="0"/>
    <n v="11515"/>
    <x v="44"/>
    <s v="No"/>
    <n v="293004164"/>
    <x v="58"/>
    <x v="0"/>
    <n v="175000000"/>
  </r>
  <r>
    <n v="60"/>
    <x v="59"/>
    <n v="80"/>
    <x v="0"/>
    <x v="12"/>
    <n v="15955"/>
    <x v="45"/>
    <s v="No"/>
    <n v="292576195"/>
    <x v="59"/>
    <x v="0"/>
    <n v="160000000"/>
  </r>
  <r>
    <n v="61"/>
    <x v="60"/>
    <n v="40"/>
    <x v="4"/>
    <x v="3"/>
    <n v="15010"/>
    <x v="41"/>
    <s v="Yes"/>
    <n v="292324737"/>
    <x v="60"/>
    <x v="0"/>
    <n v="136200000"/>
  </r>
  <r>
    <n v="62"/>
    <x v="61"/>
    <n v="40"/>
    <x v="4"/>
    <x v="19"/>
    <n v="12160"/>
    <x v="46"/>
    <s v="Yes"/>
    <n v="292004738"/>
    <x v="61"/>
    <x v="0"/>
    <n v="150000000"/>
  </r>
  <r>
    <n v="63"/>
    <x v="62"/>
    <n v="40"/>
    <x v="4"/>
    <x v="17"/>
    <n v="14950"/>
    <x v="47"/>
    <s v="No"/>
    <n v="291710957"/>
    <x v="62"/>
    <x v="0"/>
    <n v="180000000"/>
  </r>
  <r>
    <n v="64"/>
    <x v="63"/>
    <n v="90"/>
    <x v="2"/>
    <x v="3"/>
    <n v="13210"/>
    <x v="48"/>
    <s v="Yes"/>
    <n v="291045518"/>
    <x v="63"/>
    <x v="0"/>
    <n v="225000000"/>
  </r>
  <r>
    <n v="65"/>
    <x v="64"/>
    <n v="80"/>
    <x v="0"/>
    <x v="23"/>
    <n v="14035"/>
    <x v="49"/>
    <s v="Yes"/>
    <n v="290158751"/>
    <x v="64"/>
    <x v="0"/>
    <n v="23000000"/>
  </r>
  <r>
    <n v="66"/>
    <x v="65"/>
    <n v="40"/>
    <x v="4"/>
    <x v="17"/>
    <n v="12160"/>
    <x v="46"/>
    <s v="Yes"/>
    <n v="290013036"/>
    <x v="65"/>
    <x v="0"/>
    <n v="150000000"/>
  </r>
  <r>
    <n v="67"/>
    <x v="66"/>
    <n v="60"/>
    <x v="3"/>
    <x v="20"/>
    <n v="10855"/>
    <x v="50"/>
    <s v="No"/>
    <n v="289423425"/>
    <x v="66"/>
    <x v="0"/>
    <n v="115000000"/>
  </r>
  <r>
    <n v="68"/>
    <x v="67"/>
    <n v="80"/>
    <x v="0"/>
    <x v="16"/>
    <n v="14755"/>
    <x v="51"/>
    <s v="Yes"/>
    <n v="281553689"/>
    <x v="67"/>
    <x v="0"/>
    <n v="150000000"/>
  </r>
  <r>
    <n v="69"/>
    <x v="68"/>
    <n v="40"/>
    <x v="4"/>
    <x v="13"/>
    <n v="15010"/>
    <x v="41"/>
    <s v="Yes"/>
    <n v="281287133"/>
    <x v="68"/>
    <x v="0"/>
    <n v="127500000"/>
  </r>
  <r>
    <n v="70"/>
    <x v="69"/>
    <n v="10"/>
    <x v="6"/>
    <x v="7"/>
    <n v="10660"/>
    <x v="52"/>
    <s v="Yes"/>
    <n v="279167575"/>
    <x v="69"/>
    <x v="0"/>
    <n v="60000000"/>
  </r>
  <r>
    <n v="71"/>
    <x v="70"/>
    <n v="10"/>
    <x v="6"/>
    <x v="24"/>
    <n v="15940"/>
    <x v="53"/>
    <s v="No"/>
    <n v="277504018"/>
    <x v="70"/>
    <x v="0"/>
    <n v="15000000"/>
  </r>
  <r>
    <n v="72"/>
    <x v="71"/>
    <n v="10"/>
    <x v="6"/>
    <x v="0"/>
    <n v="16225"/>
    <x v="54"/>
    <s v="No"/>
    <n v="277322503"/>
    <x v="71"/>
    <x v="0"/>
    <n v="35000000"/>
  </r>
  <r>
    <n v="73"/>
    <x v="72"/>
    <n v="10"/>
    <x v="6"/>
    <x v="3"/>
    <n v="12925"/>
    <x v="55"/>
    <s v="No"/>
    <n v="274092705"/>
    <x v="72"/>
    <x v="0"/>
    <n v="110000000"/>
  </r>
  <r>
    <n v="74"/>
    <x v="73"/>
    <n v="60"/>
    <x v="3"/>
    <x v="3"/>
    <n v="10855"/>
    <x v="50"/>
    <s v="Yes"/>
    <n v="268488329"/>
    <x v="73"/>
    <x v="0"/>
    <n v="200000000"/>
  </r>
  <r>
    <n v="75"/>
    <x v="74"/>
    <n v="60"/>
    <x v="3"/>
    <x v="20"/>
    <n v="16180"/>
    <x v="9"/>
    <s v="No"/>
    <n v="267655011"/>
    <x v="74"/>
    <x v="0"/>
    <n v="50000000"/>
  </r>
  <r>
    <n v="76"/>
    <x v="75"/>
    <n v="90"/>
    <x v="2"/>
    <x v="3"/>
    <n v="10255"/>
    <x v="56"/>
    <s v="Yes"/>
    <n v="262030663"/>
    <x v="75"/>
    <x v="0"/>
    <n v="110000000"/>
  </r>
  <r>
    <n v="77"/>
    <x v="76"/>
    <n v="40"/>
    <x v="4"/>
    <x v="14"/>
    <n v="11425"/>
    <x v="57"/>
    <s v="Yes"/>
    <n v="261987880"/>
    <x v="76"/>
    <x v="0"/>
    <n v="100000000"/>
  </r>
  <r>
    <n v="78"/>
    <x v="77"/>
    <n v="60"/>
    <x v="3"/>
    <x v="7"/>
    <n v="15370"/>
    <x v="58"/>
    <s v="No"/>
    <n v="261441092"/>
    <x v="77"/>
    <x v="0"/>
    <n v="92000000"/>
  </r>
  <r>
    <n v="79"/>
    <x v="78"/>
    <n v="60"/>
    <x v="3"/>
    <x v="25"/>
    <n v="18415"/>
    <x v="59"/>
    <s v="No"/>
    <n v="260044825"/>
    <x v="78"/>
    <x v="0"/>
    <n v="123000000"/>
  </r>
  <r>
    <n v="80"/>
    <x v="79"/>
    <n v="10"/>
    <x v="6"/>
    <x v="26"/>
    <n v="17275"/>
    <x v="60"/>
    <s v="No"/>
    <n v="260000000"/>
    <x v="79"/>
    <x v="0"/>
    <n v="12000000"/>
  </r>
  <r>
    <n v="81"/>
    <x v="80"/>
    <n v="80"/>
    <x v="0"/>
    <x v="18"/>
    <n v="11365"/>
    <x v="61"/>
    <s v="Yes"/>
    <n v="259746958"/>
    <x v="80"/>
    <x v="0"/>
    <n v="170000000"/>
  </r>
  <r>
    <n v="82"/>
    <x v="81"/>
    <n v="40"/>
    <x v="4"/>
    <x v="9"/>
    <n v="15595"/>
    <x v="62"/>
    <s v="Yes"/>
    <n v="258366855"/>
    <x v="81"/>
    <x v="0"/>
    <n v="250000000"/>
  </r>
  <r>
    <n v="83"/>
    <x v="82"/>
    <n v="60"/>
    <x v="3"/>
    <x v="9"/>
    <n v="10180"/>
    <x v="63"/>
    <s v="No"/>
    <n v="257784718"/>
    <x v="82"/>
    <x v="0"/>
    <n v="60000000"/>
  </r>
  <r>
    <n v="84"/>
    <x v="83"/>
    <n v="80"/>
    <x v="0"/>
    <x v="0"/>
    <n v="19300"/>
    <x v="64"/>
    <s v="Yes"/>
    <n v="257730019"/>
    <x v="83"/>
    <x v="0"/>
    <n v="140000000"/>
  </r>
  <r>
    <n v="85"/>
    <x v="84"/>
    <n v="80"/>
    <x v="0"/>
    <x v="19"/>
    <n v="12535"/>
    <x v="65"/>
    <s v="No"/>
    <n v="256393010"/>
    <x v="84"/>
    <x v="0"/>
    <n v="150000000"/>
  </r>
  <r>
    <n v="86"/>
    <x v="85"/>
    <n v="20"/>
    <x v="5"/>
    <x v="0"/>
    <n v="18595"/>
    <x v="66"/>
    <s v="No"/>
    <n v="255959475"/>
    <x v="85"/>
    <x v="0"/>
    <n v="35000000"/>
  </r>
  <r>
    <n v="87"/>
    <x v="86"/>
    <n v="40"/>
    <x v="4"/>
    <x v="18"/>
    <n v="15595"/>
    <x v="62"/>
    <s v="Yes"/>
    <n v="255119788"/>
    <x v="86"/>
    <x v="0"/>
    <n v="250000000"/>
  </r>
  <r>
    <n v="88"/>
    <x v="87"/>
    <n v="10"/>
    <x v="6"/>
    <x v="13"/>
    <n v="19270"/>
    <x v="67"/>
    <s v="Yes"/>
    <n v="254464305"/>
    <x v="87"/>
    <x v="0"/>
    <n v="80000000"/>
  </r>
  <r>
    <n v="89"/>
    <x v="88"/>
    <n v="60"/>
    <x v="3"/>
    <x v="12"/>
    <n v="13420"/>
    <x v="68"/>
    <s v="No"/>
    <n v="251513985"/>
    <x v="88"/>
    <x v="0"/>
    <n v="69000000"/>
  </r>
  <r>
    <n v="90"/>
    <x v="89"/>
    <n v="60"/>
    <x v="3"/>
    <x v="10"/>
    <n v="10660"/>
    <x v="52"/>
    <s v="No"/>
    <n v="250863268"/>
    <x v="89"/>
    <x v="0"/>
    <n v="110000000"/>
  </r>
  <r>
    <n v="91"/>
    <x v="90"/>
    <n v="80"/>
    <x v="0"/>
    <x v="1"/>
    <n v="18865"/>
    <x v="69"/>
    <s v="No"/>
    <n v="250147615"/>
    <x v="90"/>
    <x v="0"/>
    <n v="90000000"/>
  </r>
  <r>
    <n v="92"/>
    <x v="91"/>
    <n v="40"/>
    <x v="4"/>
    <x v="7"/>
    <n v="12160"/>
    <x v="46"/>
    <s v="Yes"/>
    <n v="249538952"/>
    <x v="91"/>
    <x v="0"/>
    <n v="130000000"/>
  </r>
  <r>
    <n v="93"/>
    <x v="92"/>
    <n v="90"/>
    <x v="2"/>
    <x v="27"/>
    <n v="15145"/>
    <x v="70"/>
    <s v="No"/>
    <n v="248972777"/>
    <x v="92"/>
    <x v="0"/>
    <n v="35000000"/>
  </r>
  <r>
    <n v="94"/>
    <x v="93"/>
    <n v="50"/>
    <x v="1"/>
    <x v="28"/>
    <n v="13120"/>
    <x v="6"/>
    <s v="No"/>
    <n v="248159971"/>
    <x v="93"/>
    <x v="0"/>
    <n v="20000000"/>
  </r>
  <r>
    <n v="95"/>
    <x v="94"/>
    <n v="60"/>
    <x v="3"/>
    <x v="5"/>
    <n v="18760"/>
    <x v="71"/>
    <s v="Yes"/>
    <n v="245823397"/>
    <x v="94"/>
    <x v="0"/>
    <n v="90000000"/>
  </r>
  <r>
    <n v="96"/>
    <x v="95"/>
    <n v="80"/>
    <x v="0"/>
    <x v="18"/>
    <n v="15565"/>
    <x v="72"/>
    <s v="Yes"/>
    <n v="245439076"/>
    <x v="95"/>
    <x v="0"/>
    <n v="210000000"/>
  </r>
  <r>
    <n v="97"/>
    <x v="96"/>
    <n v="60"/>
    <x v="3"/>
    <x v="10"/>
    <n v="10285"/>
    <x v="73"/>
    <s v="No"/>
    <n v="244082982"/>
    <x v="96"/>
    <x v="0"/>
    <n v="70000000"/>
  </r>
  <r>
    <n v="98"/>
    <x v="97"/>
    <n v="40"/>
    <x v="4"/>
    <x v="16"/>
    <n v="17695"/>
    <x v="74"/>
    <s v="No"/>
    <n v="242704995"/>
    <x v="97"/>
    <x v="0"/>
    <n v="81000000"/>
  </r>
  <r>
    <n v="99"/>
    <x v="98"/>
    <n v="40"/>
    <x v="4"/>
    <x v="29"/>
    <n v="11770"/>
    <x v="75"/>
    <s v="No"/>
    <n v="242212467"/>
    <x v="98"/>
    <x v="0"/>
    <n v="30000000"/>
  </r>
  <r>
    <n v="100"/>
    <x v="99"/>
    <n v="10"/>
    <x v="6"/>
    <x v="22"/>
    <n v="10840"/>
    <x v="76"/>
    <s v="No"/>
    <n v="241688385"/>
    <x v="99"/>
    <x v="0"/>
    <n v="88000000"/>
  </r>
  <r>
    <n v="101"/>
    <x v="100"/>
    <n v="10"/>
    <x v="6"/>
    <x v="14"/>
    <n v="14305"/>
    <x v="77"/>
    <s v="No"/>
    <n v="241438208"/>
    <x v="100"/>
    <x v="0"/>
    <n v="5000000"/>
  </r>
  <r>
    <n v="102"/>
    <x v="101"/>
    <n v="40"/>
    <x v="4"/>
    <x v="9"/>
    <n v="10330"/>
    <x v="78"/>
    <s v="No"/>
    <n v="241407328"/>
    <x v="101"/>
    <x v="0"/>
    <n v="180000000"/>
  </r>
  <r>
    <n v="103"/>
    <x v="102"/>
    <n v="40"/>
    <x v="4"/>
    <x v="13"/>
    <n v="14350"/>
    <x v="12"/>
    <s v="Yes"/>
    <n v="241063875"/>
    <x v="102"/>
    <x v="0"/>
    <n v="250000000"/>
  </r>
  <r>
    <n v="104"/>
    <x v="103"/>
    <n v="10"/>
    <x v="6"/>
    <x v="3"/>
    <n v="19060"/>
    <x v="28"/>
    <s v="Yes"/>
    <n v="238679850"/>
    <x v="103"/>
    <x v="0"/>
    <n v="160000000"/>
  </r>
  <r>
    <n v="105"/>
    <x v="104"/>
    <n v="60"/>
    <x v="3"/>
    <x v="12"/>
    <n v="15055"/>
    <x v="79"/>
    <s v="Yes"/>
    <n v="238395990"/>
    <x v="104"/>
    <x v="0"/>
    <n v="165000000"/>
  </r>
  <r>
    <n v="106"/>
    <x v="105"/>
    <n v="60"/>
    <x v="3"/>
    <x v="3"/>
    <n v="12535"/>
    <x v="65"/>
    <s v="No"/>
    <n v="237282182"/>
    <x v="105"/>
    <x v="0"/>
    <n v="185000000"/>
  </r>
  <r>
    <n v="107"/>
    <x v="106"/>
    <n v="40"/>
    <x v="4"/>
    <x v="13"/>
    <n v="13615"/>
    <x v="80"/>
    <s v="No"/>
    <n v="234770996"/>
    <x v="106"/>
    <x v="0"/>
    <n v="200000000"/>
  </r>
  <r>
    <n v="108"/>
    <x v="107"/>
    <n v="90"/>
    <x v="2"/>
    <x v="10"/>
    <n v="17995"/>
    <x v="81"/>
    <s v="Yes"/>
    <n v="234362462"/>
    <x v="107"/>
    <x v="0"/>
    <n v="165000000"/>
  </r>
  <r>
    <n v="109"/>
    <x v="108"/>
    <n v="80"/>
    <x v="0"/>
    <x v="17"/>
    <n v="18745"/>
    <x v="82"/>
    <s v="No"/>
    <n v="234280354"/>
    <x v="108"/>
    <x v="0"/>
    <n v="132000000"/>
  </r>
  <r>
    <n v="110"/>
    <x v="109"/>
    <n v="80"/>
    <x v="0"/>
    <x v="18"/>
    <n v="13270"/>
    <x v="83"/>
    <s v="Yes"/>
    <n v="233921534"/>
    <x v="107"/>
    <x v="0"/>
    <n v="165000000"/>
  </r>
  <r>
    <n v="111"/>
    <x v="110"/>
    <n v="10"/>
    <x v="6"/>
    <x v="25"/>
    <n v="13960"/>
    <x v="84"/>
    <s v="No"/>
    <n v="233632142"/>
    <x v="109"/>
    <x v="0"/>
    <n v="85000000"/>
  </r>
  <r>
    <n v="112"/>
    <x v="111"/>
    <n v="10"/>
    <x v="6"/>
    <x v="29"/>
    <n v="15970"/>
    <x v="85"/>
    <s v="No"/>
    <n v="229909722"/>
    <x v="110"/>
    <x v="0"/>
    <n v="15000000"/>
  </r>
  <r>
    <n v="113"/>
    <x v="112"/>
    <n v="80"/>
    <x v="0"/>
    <x v="1"/>
    <n v="13930"/>
    <x v="86"/>
    <s v="No"/>
    <n v="229074524"/>
    <x v="111"/>
    <x v="0"/>
    <n v="75000000"/>
  </r>
  <r>
    <n v="114"/>
    <x v="113"/>
    <n v="80"/>
    <x v="0"/>
    <x v="3"/>
    <n v="11380"/>
    <x v="87"/>
    <s v="Yes"/>
    <n v="228778661"/>
    <x v="112"/>
    <x v="0"/>
    <n v="190000000"/>
  </r>
  <r>
    <n v="115"/>
    <x v="114"/>
    <n v="80"/>
    <x v="0"/>
    <x v="14"/>
    <n v="15865"/>
    <x v="88"/>
    <s v="No"/>
    <n v="227965690"/>
    <x v="113"/>
    <x v="0"/>
    <n v="70702619"/>
  </r>
  <r>
    <n v="116"/>
    <x v="115"/>
    <n v="90"/>
    <x v="2"/>
    <x v="4"/>
    <n v="13525"/>
    <x v="89"/>
    <s v="No"/>
    <n v="227946274"/>
    <x v="114"/>
    <x v="0"/>
    <n v="150000000"/>
  </r>
  <r>
    <n v="117"/>
    <x v="116"/>
    <n v="10"/>
    <x v="6"/>
    <x v="19"/>
    <n v="17860"/>
    <x v="90"/>
    <s v="Yes"/>
    <n v="227471070"/>
    <x v="115"/>
    <x v="0"/>
    <n v="130000000"/>
  </r>
  <r>
    <n v="118"/>
    <x v="117"/>
    <n v="10"/>
    <x v="6"/>
    <x v="20"/>
    <n v="13495"/>
    <x v="91"/>
    <s v="Yes"/>
    <n v="226164286"/>
    <x v="116"/>
    <x v="0"/>
    <n v="90000000"/>
  </r>
  <r>
    <n v="119"/>
    <x v="118"/>
    <n v="80"/>
    <x v="0"/>
    <x v="4"/>
    <n v="12790"/>
    <x v="92"/>
    <s v="No"/>
    <n v="223808164"/>
    <x v="117"/>
    <x v="0"/>
    <n v="180000000"/>
  </r>
  <r>
    <n v="120"/>
    <x v="119"/>
    <n v="80"/>
    <x v="0"/>
    <x v="18"/>
    <n v="17845"/>
    <x v="93"/>
    <s v="No"/>
    <n v="222527828"/>
    <x v="118"/>
    <x v="0"/>
    <n v="165000000"/>
  </r>
  <r>
    <n v="121"/>
    <x v="120"/>
    <n v="10"/>
    <x v="6"/>
    <x v="19"/>
    <n v="16465"/>
    <x v="94"/>
    <s v="Yes"/>
    <n v="219961501"/>
    <x v="119"/>
    <x v="0"/>
    <n v="0"/>
  </r>
  <r>
    <n v="122"/>
    <x v="121"/>
    <n v="60"/>
    <x v="3"/>
    <x v="0"/>
    <n v="19285"/>
    <x v="95"/>
    <s v="Yes"/>
    <n v="219614612"/>
    <x v="120"/>
    <x v="0"/>
    <n v="70000000"/>
  </r>
  <r>
    <n v="123"/>
    <x v="122"/>
    <n v="40"/>
    <x v="4"/>
    <x v="30"/>
    <n v="10780"/>
    <x v="96"/>
    <s v="No"/>
    <n v="218951625"/>
    <x v="121"/>
    <x v="0"/>
    <n v="20000000"/>
  </r>
  <r>
    <n v="124"/>
    <x v="123"/>
    <n v="10"/>
    <x v="6"/>
    <x v="15"/>
    <n v="17425"/>
    <x v="97"/>
    <s v="No"/>
    <n v="218692701"/>
    <x v="122"/>
    <x v="0"/>
    <n v="25000000"/>
  </r>
  <r>
    <n v="125"/>
    <x v="124"/>
    <n v="10"/>
    <x v="6"/>
    <x v="13"/>
    <n v="15565"/>
    <x v="72"/>
    <s v="No"/>
    <n v="218665740"/>
    <x v="123"/>
    <x v="0"/>
    <n v="50000000"/>
  </r>
  <r>
    <n v="126"/>
    <x v="125"/>
    <n v="40"/>
    <x v="4"/>
    <x v="17"/>
    <n v="15040"/>
    <x v="98"/>
    <s v="No"/>
    <n v="218080025"/>
    <x v="124"/>
    <x v="0"/>
    <n v="207000000"/>
  </r>
  <r>
    <n v="127"/>
    <x v="126"/>
    <n v="40"/>
    <x v="4"/>
    <x v="12"/>
    <n v="15025"/>
    <x v="99"/>
    <s v="No"/>
    <n v="217581231"/>
    <x v="125"/>
    <x v="0"/>
    <n v="165000000"/>
  </r>
  <r>
    <n v="128"/>
    <x v="127"/>
    <n v="10"/>
    <x v="6"/>
    <x v="10"/>
    <n v="14605"/>
    <x v="100"/>
    <s v="No"/>
    <n v="217536138"/>
    <x v="126"/>
    <x v="0"/>
    <n v="125000000"/>
  </r>
  <r>
    <n v="129"/>
    <x v="128"/>
    <n v="60"/>
    <x v="3"/>
    <x v="19"/>
    <n v="13765"/>
    <x v="101"/>
    <s v="No"/>
    <n v="217326974"/>
    <x v="127"/>
    <x v="0"/>
    <n v="55000000"/>
  </r>
  <r>
    <n v="130"/>
    <x v="129"/>
    <n v="60"/>
    <x v="3"/>
    <x v="3"/>
    <n v="12550"/>
    <x v="102"/>
    <s v="Yes"/>
    <n v="216391482"/>
    <x v="128"/>
    <x v="0"/>
    <n v="145000000"/>
  </r>
  <r>
    <n v="131"/>
    <x v="130"/>
    <n v="50"/>
    <x v="1"/>
    <x v="31"/>
    <n v="18760"/>
    <x v="71"/>
    <s v="No"/>
    <n v="216119491"/>
    <x v="129"/>
    <x v="0"/>
    <n v="65000000"/>
  </r>
  <r>
    <n v="132"/>
    <x v="131"/>
    <n v="60"/>
    <x v="3"/>
    <x v="4"/>
    <n v="11800"/>
    <x v="103"/>
    <s v="No"/>
    <n v="215434591"/>
    <x v="130"/>
    <x v="0"/>
    <n v="130000000"/>
  </r>
  <r>
    <n v="133"/>
    <x v="132"/>
    <n v="10"/>
    <x v="6"/>
    <x v="25"/>
    <n v="18745"/>
    <x v="82"/>
    <s v="Yes"/>
    <n v="215409889"/>
    <x v="131"/>
    <x v="0"/>
    <n v="120000000"/>
  </r>
  <r>
    <n v="134"/>
    <x v="133"/>
    <n v="90"/>
    <x v="2"/>
    <x v="16"/>
    <n v="16660"/>
    <x v="104"/>
    <s v="Yes"/>
    <n v="214949694"/>
    <x v="132"/>
    <x v="0"/>
    <n v="125000000"/>
  </r>
  <r>
    <n v="135"/>
    <x v="134"/>
    <n v="60"/>
    <x v="3"/>
    <x v="13"/>
    <n v="11875"/>
    <x v="105"/>
    <s v="No"/>
    <n v="214030500"/>
    <x v="133"/>
    <x v="0"/>
    <n v="67500000"/>
  </r>
  <r>
    <n v="136"/>
    <x v="135"/>
    <n v="10"/>
    <x v="6"/>
    <x v="14"/>
    <n v="12775"/>
    <x v="106"/>
    <s v="Yes"/>
    <n v="213117789"/>
    <x v="134"/>
    <x v="0"/>
    <n v="63000000"/>
  </r>
  <r>
    <n v="137"/>
    <x v="136"/>
    <n v="80"/>
    <x v="0"/>
    <x v="32"/>
    <n v="11215"/>
    <x v="107"/>
    <s v="No"/>
    <n v="212259762"/>
    <x v="135"/>
    <x v="0"/>
    <n v="19000000"/>
  </r>
  <r>
    <n v="138"/>
    <x v="137"/>
    <n v="50"/>
    <x v="1"/>
    <x v="19"/>
    <n v="16885"/>
    <x v="108"/>
    <s v="No"/>
    <n v="210592590"/>
    <x v="136"/>
    <x v="0"/>
    <n v="60000000"/>
  </r>
  <r>
    <n v="139"/>
    <x v="138"/>
    <n v="10"/>
    <x v="6"/>
    <x v="13"/>
    <n v="19060"/>
    <x v="28"/>
    <s v="Yes"/>
    <n v="209837675"/>
    <x v="137"/>
    <x v="0"/>
    <n v="125000000"/>
  </r>
  <r>
    <n v="140"/>
    <x v="139"/>
    <n v="10"/>
    <x v="6"/>
    <x v="13"/>
    <n v="18745"/>
    <x v="82"/>
    <s v="Yes"/>
    <n v="209397903"/>
    <x v="138"/>
    <x v="0"/>
    <n v="145000000"/>
  </r>
  <r>
    <n v="141"/>
    <x v="140"/>
    <n v="10"/>
    <x v="6"/>
    <x v="17"/>
    <n v="16630"/>
    <x v="109"/>
    <s v="No"/>
    <n v="209218368"/>
    <x v="139"/>
    <x v="0"/>
    <n v="40000000"/>
  </r>
  <r>
    <n v="142"/>
    <x v="141"/>
    <n v="50"/>
    <x v="1"/>
    <x v="0"/>
    <n v="17335"/>
    <x v="15"/>
    <s v="No"/>
    <n v="209028679"/>
    <x v="140"/>
    <x v="0"/>
    <n v="90000000"/>
  </r>
  <r>
    <n v="143"/>
    <x v="142"/>
    <n v="40"/>
    <x v="4"/>
    <x v="33"/>
    <n v="12055"/>
    <x v="110"/>
    <s v="No"/>
    <n v="208577270"/>
    <x v="141"/>
    <x v="0"/>
    <n v="28000000"/>
  </r>
  <r>
    <n v="144"/>
    <x v="143"/>
    <n v="80"/>
    <x v="0"/>
    <x v="18"/>
    <n v="10300"/>
    <x v="111"/>
    <s v="Yes"/>
    <n v="208545589"/>
    <x v="142"/>
    <x v="0"/>
    <n v="170000000"/>
  </r>
  <r>
    <n v="145"/>
    <x v="144"/>
    <n v="80"/>
    <x v="0"/>
    <x v="2"/>
    <n v="15685"/>
    <x v="112"/>
    <s v="Yes"/>
    <n v="208455239"/>
    <x v="143"/>
    <x v="0"/>
    <n v="108000000"/>
  </r>
  <r>
    <n v="146"/>
    <x v="145"/>
    <n v="60"/>
    <x v="3"/>
    <x v="17"/>
    <n v="13600"/>
    <x v="113"/>
    <s v="No"/>
    <n v="206459076"/>
    <x v="144"/>
    <x v="0"/>
    <n v="150000000"/>
  </r>
  <r>
    <n v="147"/>
    <x v="146"/>
    <n v="60"/>
    <x v="3"/>
    <x v="19"/>
    <n v="10915"/>
    <x v="114"/>
    <s v="No"/>
    <n v="206445654"/>
    <x v="145"/>
    <x v="0"/>
    <n v="150000000"/>
  </r>
  <r>
    <n v="148"/>
    <x v="147"/>
    <n v="90"/>
    <x v="2"/>
    <x v="9"/>
    <n v="16390"/>
    <x v="115"/>
    <s v="Yes"/>
    <n v="206360018"/>
    <x v="146"/>
    <x v="0"/>
    <n v="150000000"/>
  </r>
  <r>
    <n v="149"/>
    <x v="148"/>
    <n v="40"/>
    <x v="4"/>
    <x v="24"/>
    <n v="12085"/>
    <x v="116"/>
    <s v="No"/>
    <n v="206143657"/>
    <x v="147"/>
    <x v="0"/>
    <n v="22000000"/>
  </r>
  <r>
    <n v="150"/>
    <x v="149"/>
    <n v="20"/>
    <x v="5"/>
    <x v="5"/>
    <n v="12565"/>
    <x v="117"/>
    <s v="Yes"/>
    <n v="205957794"/>
    <x v="148"/>
    <x v="0"/>
    <n v="35000000"/>
  </r>
  <r>
    <n v="151"/>
    <x v="150"/>
    <n v="90"/>
    <x v="2"/>
    <x v="17"/>
    <n v="17785"/>
    <x v="118"/>
    <s v="No"/>
    <n v="205343774"/>
    <x v="149"/>
    <x v="0"/>
    <n v="150000000"/>
  </r>
  <r>
    <n v="152"/>
    <x v="151"/>
    <n v="40"/>
    <x v="4"/>
    <x v="34"/>
    <n v="15130"/>
    <x v="119"/>
    <s v="No"/>
    <n v="204868002"/>
    <x v="150"/>
    <x v="0"/>
    <n v="12000000"/>
  </r>
  <r>
    <n v="153"/>
    <x v="152"/>
    <n v="90"/>
    <x v="2"/>
    <x v="9"/>
    <n v="10255"/>
    <x v="56"/>
    <s v="Yes"/>
    <n v="202853933"/>
    <x v="75"/>
    <x v="0"/>
    <n v="110000000"/>
  </r>
  <r>
    <n v="154"/>
    <x v="153"/>
    <n v="80"/>
    <x v="0"/>
    <x v="13"/>
    <n v="10930"/>
    <x v="120"/>
    <s v="No"/>
    <n v="202359711"/>
    <x v="151"/>
    <x v="0"/>
    <n v="190000000"/>
  </r>
  <r>
    <n v="155"/>
    <x v="154"/>
    <n v="40"/>
    <x v="4"/>
    <x v="20"/>
    <n v="11035"/>
    <x v="121"/>
    <s v="Yes"/>
    <n v="202007640"/>
    <x v="152"/>
    <x v="0"/>
    <n v="98000000"/>
  </r>
  <r>
    <n v="156"/>
    <x v="155"/>
    <n v="80"/>
    <x v="0"/>
    <x v="30"/>
    <n v="10525"/>
    <x v="122"/>
    <s v="Yes"/>
    <n v="201858746"/>
    <x v="153"/>
    <x v="0"/>
    <n v="100000000"/>
  </r>
  <r>
    <n v="157"/>
    <x v="156"/>
    <n v="80"/>
    <x v="0"/>
    <x v="31"/>
    <n v="13585"/>
    <x v="123"/>
    <s v="No"/>
    <n v="201573391"/>
    <x v="154"/>
    <x v="0"/>
    <n v="140000000"/>
  </r>
  <r>
    <n v="158"/>
    <x v="157"/>
    <n v="40"/>
    <x v="4"/>
    <x v="18"/>
    <n v="16525"/>
    <x v="124"/>
    <s v="No"/>
    <n v="201151353"/>
    <x v="155"/>
    <x v="0"/>
    <n v="2900000"/>
  </r>
  <r>
    <n v="159"/>
    <x v="158"/>
    <n v="60"/>
    <x v="3"/>
    <x v="12"/>
    <n v="15460"/>
    <x v="125"/>
    <s v="No"/>
    <n v="200821936"/>
    <x v="156"/>
    <x v="0"/>
    <n v="260000000"/>
  </r>
  <r>
    <n v="160"/>
    <x v="159"/>
    <n v="80"/>
    <x v="0"/>
    <x v="18"/>
    <n v="12460"/>
    <x v="126"/>
    <s v="No"/>
    <n v="200672193"/>
    <x v="157"/>
    <x v="0"/>
    <n v="125000000"/>
  </r>
  <r>
    <n v="161"/>
    <x v="160"/>
    <n v="90"/>
    <x v="2"/>
    <x v="10"/>
    <n v="10975"/>
    <x v="127"/>
    <s v="No"/>
    <n v="200120000"/>
    <x v="158"/>
    <x v="0"/>
    <n v="232000000"/>
  </r>
  <r>
    <n v="162"/>
    <x v="161"/>
    <n v="50"/>
    <x v="1"/>
    <x v="35"/>
    <n v="11560"/>
    <x v="128"/>
    <s v="No"/>
    <n v="198680470"/>
    <x v="159"/>
    <x v="0"/>
    <n v="3900000"/>
  </r>
  <r>
    <n v="163"/>
    <x v="162"/>
    <n v="20"/>
    <x v="5"/>
    <x v="20"/>
    <n v="10630"/>
    <x v="129"/>
    <s v="No"/>
    <n v="198539855"/>
    <x v="160"/>
    <x v="0"/>
    <n v="151500000"/>
  </r>
  <r>
    <n v="164"/>
    <x v="163"/>
    <n v="60"/>
    <x v="3"/>
    <x v="0"/>
    <n v="17110"/>
    <x v="130"/>
    <s v="No"/>
    <n v="198351526"/>
    <x v="161"/>
    <x v="0"/>
    <n v="175000000"/>
  </r>
  <r>
    <n v="165"/>
    <x v="164"/>
    <n v="60"/>
    <x v="3"/>
    <x v="10"/>
    <n v="16255"/>
    <x v="131"/>
    <s v="No"/>
    <n v="198000317"/>
    <x v="162"/>
    <x v="0"/>
    <n v="85000000"/>
  </r>
  <r>
    <n v="166"/>
    <x v="165"/>
    <n v="60"/>
    <x v="3"/>
    <x v="0"/>
    <n v="15025"/>
    <x v="99"/>
    <s v="Yes"/>
    <n v="196573705"/>
    <x v="163"/>
    <x v="0"/>
    <n v="90000000"/>
  </r>
  <r>
    <n v="167"/>
    <x v="166"/>
    <n v="40"/>
    <x v="4"/>
    <x v="27"/>
    <n v="13375"/>
    <x v="132"/>
    <s v="Yes"/>
    <n v="195705225"/>
    <x v="164"/>
    <x v="0"/>
    <n v="48000000"/>
  </r>
  <r>
    <n v="168"/>
    <x v="167"/>
    <n v="60"/>
    <x v="3"/>
    <x v="10"/>
    <n v="18190"/>
    <x v="133"/>
    <s v="Yes"/>
    <n v="195330621"/>
    <x v="165"/>
    <x v="0"/>
    <n v="75000000"/>
  </r>
  <r>
    <n v="169"/>
    <x v="168"/>
    <n v="10"/>
    <x v="6"/>
    <x v="2"/>
    <n v="18745"/>
    <x v="82"/>
    <s v="Yes"/>
    <n v="195042377"/>
    <x v="166"/>
    <x v="0"/>
    <n v="150000000"/>
  </r>
  <r>
    <n v="170"/>
    <x v="169"/>
    <n v="60"/>
    <x v="3"/>
    <x v="7"/>
    <n v="18760"/>
    <x v="71"/>
    <s v="No"/>
    <n v="194949659"/>
    <x v="167"/>
    <x v="0"/>
    <n v="170000000"/>
  </r>
  <r>
    <n v="171"/>
    <x v="170"/>
    <n v="60"/>
    <x v="3"/>
    <x v="17"/>
    <n v="10660"/>
    <x v="52"/>
    <s v="No"/>
    <n v="193166575"/>
    <x v="168"/>
    <x v="0"/>
    <n v="75000000"/>
  </r>
  <r>
    <n v="172"/>
    <x v="171"/>
    <n v="40"/>
    <x v="4"/>
    <x v="4"/>
    <n v="15010"/>
    <x v="41"/>
    <s v="No"/>
    <n v="192769854"/>
    <x v="169"/>
    <x v="0"/>
    <n v="37000000"/>
  </r>
  <r>
    <n v="173"/>
    <x v="172"/>
    <n v="10"/>
    <x v="6"/>
    <x v="18"/>
    <n v="14395"/>
    <x v="134"/>
    <s v="Yes"/>
    <n v="191719337"/>
    <x v="170"/>
    <x v="0"/>
    <n v="50000000"/>
  </r>
  <r>
    <n v="174"/>
    <x v="173"/>
    <n v="60"/>
    <x v="3"/>
    <x v="36"/>
    <n v="18580"/>
    <x v="14"/>
    <s v="No"/>
    <n v="191652928"/>
    <x v="171"/>
    <x v="0"/>
    <n v="30000000"/>
  </r>
  <r>
    <n v="175"/>
    <x v="174"/>
    <n v="60"/>
    <x v="3"/>
    <x v="13"/>
    <n v="16630"/>
    <x v="109"/>
    <s v="Yes"/>
    <n v="191450875"/>
    <x v="172"/>
    <x v="0"/>
    <n v="200000000"/>
  </r>
  <r>
    <n v="176"/>
    <x v="175"/>
    <n v="90"/>
    <x v="2"/>
    <x v="18"/>
    <n v="15850"/>
    <x v="135"/>
    <s v="No"/>
    <n v="191204754"/>
    <x v="173"/>
    <x v="0"/>
    <n v="13500000"/>
  </r>
  <r>
    <n v="177"/>
    <x v="176"/>
    <n v="80"/>
    <x v="0"/>
    <x v="14"/>
    <n v="18865"/>
    <x v="69"/>
    <s v="Yes"/>
    <n v="190418803"/>
    <x v="174"/>
    <x v="0"/>
    <n v="140000000"/>
  </r>
  <r>
    <n v="178"/>
    <x v="177"/>
    <n v="60"/>
    <x v="3"/>
    <x v="3"/>
    <n v="14290"/>
    <x v="136"/>
    <s v="No"/>
    <n v="189412677"/>
    <x v="107"/>
    <x v="0"/>
    <n v="165000000"/>
  </r>
  <r>
    <n v="179"/>
    <x v="178"/>
    <n v="80"/>
    <x v="0"/>
    <x v="18"/>
    <n v="15805"/>
    <x v="137"/>
    <s v="No"/>
    <n v="188017894"/>
    <x v="175"/>
    <x v="0"/>
    <n v="165000000"/>
  </r>
  <r>
    <n v="180"/>
    <x v="179"/>
    <n v="50"/>
    <x v="1"/>
    <x v="25"/>
    <n v="17605"/>
    <x v="138"/>
    <s v="No"/>
    <n v="187683805"/>
    <x v="176"/>
    <x v="1"/>
    <n v="103000000"/>
  </r>
  <r>
    <n v="181"/>
    <x v="180"/>
    <n v="60"/>
    <x v="3"/>
    <x v="3"/>
    <n v="17650"/>
    <x v="139"/>
    <s v="No"/>
    <n v="187168425"/>
    <x v="177"/>
    <x v="0"/>
    <n v="135000000"/>
  </r>
  <r>
    <n v="182"/>
    <x v="181"/>
    <n v="50"/>
    <x v="1"/>
    <x v="13"/>
    <n v="17335"/>
    <x v="15"/>
    <s v="Yes"/>
    <n v="186848418"/>
    <x v="178"/>
    <x v="0"/>
    <n v="125000000"/>
  </r>
  <r>
    <n v="183"/>
    <x v="182"/>
    <n v="80"/>
    <x v="0"/>
    <x v="7"/>
    <n v="10060"/>
    <x v="140"/>
    <s v="No"/>
    <n v="186740799"/>
    <x v="179"/>
    <x v="0"/>
    <n v="125000000"/>
  </r>
  <r>
    <n v="184"/>
    <x v="183"/>
    <n v="10"/>
    <x v="6"/>
    <x v="17"/>
    <n v="10930"/>
    <x v="120"/>
    <s v="No"/>
    <n v="186336279"/>
    <x v="180"/>
    <x v="0"/>
    <n v="110000000"/>
  </r>
  <r>
    <n v="185"/>
    <x v="184"/>
    <n v="40"/>
    <x v="4"/>
    <x v="37"/>
    <n v="10000"/>
    <x v="141"/>
    <s v="No"/>
    <n v="184925485"/>
    <x v="181"/>
    <x v="0"/>
    <n v="1488000"/>
  </r>
  <r>
    <n v="186"/>
    <x v="185"/>
    <n v="90"/>
    <x v="2"/>
    <x v="36"/>
    <n v="14935"/>
    <x v="142"/>
    <s v="Yes"/>
    <n v="183997904"/>
    <x v="182"/>
    <x v="0"/>
    <n v="100000000"/>
  </r>
  <r>
    <n v="187"/>
    <x v="186"/>
    <n v="10"/>
    <x v="6"/>
    <x v="18"/>
    <n v="10390"/>
    <x v="143"/>
    <s v="Yes"/>
    <n v="183785415"/>
    <x v="183"/>
    <x v="0"/>
    <n v="29000000"/>
  </r>
  <r>
    <n v="188"/>
    <x v="187"/>
    <n v="10"/>
    <x v="6"/>
    <x v="20"/>
    <n v="12925"/>
    <x v="55"/>
    <s v="No"/>
    <n v="183417150"/>
    <x v="184"/>
    <x v="0"/>
    <n v="85000000"/>
  </r>
  <r>
    <n v="189"/>
    <x v="188"/>
    <n v="10"/>
    <x v="6"/>
    <x v="19"/>
    <n v="11785"/>
    <x v="144"/>
    <s v="No"/>
    <n v="183135014"/>
    <x v="185"/>
    <x v="0"/>
    <n v="72500000"/>
  </r>
  <r>
    <n v="190"/>
    <x v="189"/>
    <n v="10"/>
    <x v="6"/>
    <x v="25"/>
    <n v="15865"/>
    <x v="88"/>
    <s v="No"/>
    <n v="182805123"/>
    <x v="186"/>
    <x v="0"/>
    <n v="65000000"/>
  </r>
  <r>
    <n v="191"/>
    <x v="190"/>
    <n v="20"/>
    <x v="5"/>
    <x v="25"/>
    <n v="12925"/>
    <x v="55"/>
    <s v="No"/>
    <n v="182618434"/>
    <x v="187"/>
    <x v="0"/>
    <n v="120000000"/>
  </r>
  <r>
    <n v="192"/>
    <x v="191"/>
    <n v="20"/>
    <x v="5"/>
    <x v="13"/>
    <n v="11845"/>
    <x v="145"/>
    <s v="No"/>
    <n v="182207973"/>
    <x v="188"/>
    <x v="0"/>
    <n v="65000000"/>
  </r>
  <r>
    <n v="193"/>
    <x v="192"/>
    <n v="50"/>
    <x v="1"/>
    <x v="38"/>
    <n v="14320"/>
    <x v="146"/>
    <s v="No"/>
    <n v="181813770"/>
    <x v="189"/>
    <x v="0"/>
    <n v="6000000"/>
  </r>
  <r>
    <n v="194"/>
    <x v="193"/>
    <n v="10"/>
    <x v="6"/>
    <x v="1"/>
    <n v="14155"/>
    <x v="147"/>
    <s v="No"/>
    <n v="181395380"/>
    <x v="190"/>
    <x v="0"/>
    <n v="45000000"/>
  </r>
  <r>
    <n v="195"/>
    <x v="194"/>
    <n v="80"/>
    <x v="0"/>
    <x v="20"/>
    <n v="18085"/>
    <x v="148"/>
    <s v="Yes"/>
    <n v="181166115"/>
    <x v="191"/>
    <x v="0"/>
    <n v="93000000"/>
  </r>
  <r>
    <n v="196"/>
    <x v="195"/>
    <n v="90"/>
    <x v="2"/>
    <x v="13"/>
    <n v="14785"/>
    <x v="149"/>
    <s v="No"/>
    <n v="181030624"/>
    <x v="192"/>
    <x v="0"/>
    <n v="150000000"/>
  </r>
  <r>
    <n v="197"/>
    <x v="196"/>
    <n v="10"/>
    <x v="6"/>
    <x v="22"/>
    <n v="14380"/>
    <x v="150"/>
    <s v="No"/>
    <n v="180891004"/>
    <x v="193"/>
    <x v="0"/>
    <n v="80000000"/>
  </r>
  <r>
    <n v="198"/>
    <x v="197"/>
    <n v="80"/>
    <x v="0"/>
    <x v="20"/>
    <n v="15565"/>
    <x v="72"/>
    <s v="No"/>
    <n v="180011740"/>
    <x v="194"/>
    <x v="0"/>
    <n v="100000000"/>
  </r>
  <r>
    <n v="199"/>
    <x v="198"/>
    <n v="60"/>
    <x v="3"/>
    <x v="4"/>
    <n v="17665"/>
    <x v="151"/>
    <s v="Yes"/>
    <n v="180010950"/>
    <x v="195"/>
    <x v="0"/>
    <n v="150000000"/>
  </r>
  <r>
    <n v="200"/>
    <x v="199"/>
    <n v="90"/>
    <x v="2"/>
    <x v="0"/>
    <n v="13270"/>
    <x v="83"/>
    <s v="No"/>
    <n v="179883157"/>
    <x v="107"/>
    <x v="0"/>
    <n v="165000000"/>
  </r>
  <r>
    <n v="201"/>
    <x v="200"/>
    <n v="10"/>
    <x v="6"/>
    <x v="39"/>
    <n v="18745"/>
    <x v="82"/>
    <s v="No"/>
    <n v="179800601"/>
    <x v="196"/>
    <x v="0"/>
    <n v="15000000"/>
  </r>
  <r>
    <n v="202"/>
    <x v="201"/>
    <n v="90"/>
    <x v="2"/>
    <x v="2"/>
    <n v="16795"/>
    <x v="152"/>
    <s v="No"/>
    <n v="179750975"/>
    <x v="197"/>
    <x v="0"/>
    <n v="130000000"/>
  </r>
  <r>
    <n v="203"/>
    <x v="202"/>
    <n v="80"/>
    <x v="0"/>
    <x v="13"/>
    <n v="10795"/>
    <x v="153"/>
    <s v="Yes"/>
    <n v="179020854"/>
    <x v="198"/>
    <x v="0"/>
    <n v="215000000"/>
  </r>
  <r>
    <n v="204"/>
    <x v="203"/>
    <n v="10"/>
    <x v="6"/>
    <x v="17"/>
    <n v="16945"/>
    <x v="154"/>
    <s v="No"/>
    <n v="177784257"/>
    <x v="199"/>
    <x v="0"/>
    <n v="55000000"/>
  </r>
  <r>
    <n v="205"/>
    <x v="204"/>
    <n v="60"/>
    <x v="3"/>
    <x v="18"/>
    <n v="14170"/>
    <x v="155"/>
    <s v="No"/>
    <n v="177397510"/>
    <x v="200"/>
    <x v="0"/>
    <n v="130000000"/>
  </r>
  <r>
    <n v="206"/>
    <x v="205"/>
    <n v="40"/>
    <x v="4"/>
    <x v="0"/>
    <n v="10660"/>
    <x v="52"/>
    <s v="Yes"/>
    <n v="177243721"/>
    <x v="201"/>
    <x v="0"/>
    <n v="150000000"/>
  </r>
  <r>
    <n v="207"/>
    <x v="206"/>
    <n v="40"/>
    <x v="4"/>
    <x v="9"/>
    <n v="13870"/>
    <x v="156"/>
    <s v="Yes"/>
    <n v="177002924"/>
    <x v="202"/>
    <x v="0"/>
    <n v="145000000"/>
  </r>
  <r>
    <n v="208"/>
    <x v="207"/>
    <n v="80"/>
    <x v="0"/>
    <x v="13"/>
    <n v="13615"/>
    <x v="80"/>
    <s v="No"/>
    <n v="176760185"/>
    <x v="203"/>
    <x v="0"/>
    <n v="93000000"/>
  </r>
  <r>
    <n v="209"/>
    <x v="208"/>
    <n v="90"/>
    <x v="2"/>
    <x v="13"/>
    <n v="13285"/>
    <x v="38"/>
    <s v="No"/>
    <n v="176654505"/>
    <x v="204"/>
    <x v="0"/>
    <n v="140000000"/>
  </r>
  <r>
    <n v="210"/>
    <x v="209"/>
    <n v="10"/>
    <x v="6"/>
    <x v="0"/>
    <n v="18445"/>
    <x v="157"/>
    <s v="No"/>
    <n v="176591618"/>
    <x v="205"/>
    <x v="0"/>
    <n v="40000000"/>
  </r>
  <r>
    <n v="211"/>
    <x v="210"/>
    <n v="10"/>
    <x v="6"/>
    <x v="31"/>
    <n v="19075"/>
    <x v="158"/>
    <s v="No"/>
    <n v="176483808"/>
    <x v="206"/>
    <x v="0"/>
    <n v="22000000"/>
  </r>
  <r>
    <n v="212"/>
    <x v="211"/>
    <n v="60"/>
    <x v="3"/>
    <x v="14"/>
    <n v="18190"/>
    <x v="133"/>
    <s v="No"/>
    <n v="176387405"/>
    <x v="207"/>
    <x v="0"/>
    <n v="65000000"/>
  </r>
  <r>
    <n v="213"/>
    <x v="212"/>
    <n v="10"/>
    <x v="6"/>
    <x v="8"/>
    <n v="11305"/>
    <x v="159"/>
    <s v="No"/>
    <n v="176188774"/>
    <x v="181"/>
    <x v="0"/>
    <n v="15000000"/>
  </r>
  <r>
    <n v="214"/>
    <x v="213"/>
    <n v="10"/>
    <x v="6"/>
    <x v="7"/>
    <n v="11350"/>
    <x v="160"/>
    <s v="Yes"/>
    <n v="176087450"/>
    <x v="208"/>
    <x v="0"/>
    <n v="85000000"/>
  </r>
  <r>
    <n v="215"/>
    <x v="214"/>
    <n v="50"/>
    <x v="1"/>
    <x v="24"/>
    <n v="16120"/>
    <x v="161"/>
    <s v="No"/>
    <n v="175293948"/>
    <x v="209"/>
    <x v="0"/>
    <n v="19000000"/>
  </r>
  <r>
    <n v="216"/>
    <x v="215"/>
    <n v="10"/>
    <x v="6"/>
    <x v="24"/>
    <n v="13195"/>
    <x v="162"/>
    <s v="No"/>
    <n v="175119672"/>
    <x v="210"/>
    <x v="0"/>
    <n v="14000000"/>
  </r>
  <r>
    <n v="217"/>
    <x v="216"/>
    <n v="50"/>
    <x v="1"/>
    <x v="29"/>
    <n v="11530"/>
    <x v="163"/>
    <s v="Yes"/>
    <n v="175083524"/>
    <x v="211"/>
    <x v="0"/>
    <n v="28000000"/>
  </r>
  <r>
    <n v="218"/>
    <x v="217"/>
    <n v="60"/>
    <x v="3"/>
    <x v="16"/>
    <n v="16855"/>
    <x v="164"/>
    <s v="No"/>
    <n v="173398518"/>
    <x v="212"/>
    <x v="0"/>
    <n v="32000000"/>
  </r>
  <r>
    <n v="219"/>
    <x v="218"/>
    <n v="10"/>
    <x v="6"/>
    <x v="7"/>
    <n v="11515"/>
    <x v="44"/>
    <s v="No"/>
    <n v="173005002"/>
    <x v="213"/>
    <x v="0"/>
    <n v="100000000"/>
  </r>
  <r>
    <n v="220"/>
    <x v="219"/>
    <n v="10"/>
    <x v="6"/>
    <x v="1"/>
    <n v="18640"/>
    <x v="165"/>
    <s v="No"/>
    <n v="172620724"/>
    <x v="214"/>
    <x v="0"/>
    <n v="85000000"/>
  </r>
  <r>
    <n v="221"/>
    <x v="220"/>
    <n v="10"/>
    <x v="6"/>
    <x v="15"/>
    <n v="16435"/>
    <x v="166"/>
    <s v="No"/>
    <n v="172494360"/>
    <x v="215"/>
    <x v="0"/>
    <n v="44000000"/>
  </r>
  <r>
    <n v="222"/>
    <x v="221"/>
    <n v="80"/>
    <x v="0"/>
    <x v="12"/>
    <n v="12865"/>
    <x v="167"/>
    <s v="Yes"/>
    <n v="172062763"/>
    <x v="216"/>
    <x v="0"/>
    <n v="200000000"/>
  </r>
  <r>
    <n v="223"/>
    <x v="222"/>
    <n v="20"/>
    <x v="5"/>
    <x v="36"/>
    <n v="12835"/>
    <x v="168"/>
    <s v="No"/>
    <n v="172036360"/>
    <x v="217"/>
    <x v="0"/>
    <n v="65000000"/>
  </r>
  <r>
    <n v="224"/>
    <x v="223"/>
    <n v="80"/>
    <x v="0"/>
    <x v="5"/>
    <n v="14755"/>
    <x v="51"/>
    <s v="No"/>
    <n v="171383253"/>
    <x v="218"/>
    <x v="0"/>
    <n v="65000000"/>
  </r>
  <r>
    <n v="225"/>
    <x v="224"/>
    <n v="50"/>
    <x v="1"/>
    <x v="5"/>
    <n v="18910"/>
    <x v="169"/>
    <s v="No"/>
    <n v="171091819"/>
    <x v="219"/>
    <x v="0"/>
    <n v="145000000"/>
  </r>
  <r>
    <n v="226"/>
    <x v="225"/>
    <n v="50"/>
    <x v="1"/>
    <x v="12"/>
    <n v="13915"/>
    <x v="170"/>
    <s v="No"/>
    <n v="171050328"/>
    <x v="220"/>
    <x v="0"/>
    <n v="35000000"/>
  </r>
  <r>
    <n v="227"/>
    <x v="226"/>
    <n v="20"/>
    <x v="5"/>
    <x v="20"/>
    <n v="17500"/>
    <x v="171"/>
    <s v="No"/>
    <n v="170708996"/>
    <x v="221"/>
    <x v="1"/>
    <n v="78000000"/>
  </r>
  <r>
    <n v="228"/>
    <x v="227"/>
    <n v="50"/>
    <x v="1"/>
    <x v="14"/>
    <n v="11335"/>
    <x v="172"/>
    <s v="No"/>
    <n v="170687518"/>
    <x v="222"/>
    <x v="0"/>
    <n v="30000000"/>
  </r>
  <r>
    <n v="229"/>
    <x v="228"/>
    <n v="10"/>
    <x v="6"/>
    <x v="33"/>
    <n v="17200"/>
    <x v="173"/>
    <s v="Yes"/>
    <n v="170004045"/>
    <x v="223"/>
    <x v="0"/>
    <n v="20000000"/>
  </r>
  <r>
    <n v="230"/>
    <x v="229"/>
    <n v="50"/>
    <x v="1"/>
    <x v="12"/>
    <n v="12520"/>
    <x v="174"/>
    <s v="No"/>
    <n v="169705587"/>
    <x v="224"/>
    <x v="0"/>
    <n v="25000000"/>
  </r>
  <r>
    <n v="231"/>
    <x v="230"/>
    <n v="10"/>
    <x v="6"/>
    <x v="4"/>
    <n v="11830"/>
    <x v="37"/>
    <s v="Yes"/>
    <n v="169368427"/>
    <x v="225"/>
    <x v="0"/>
    <n v="230000000"/>
  </r>
  <r>
    <n v="232"/>
    <x v="231"/>
    <n v="10"/>
    <x v="6"/>
    <x v="13"/>
    <n v="15025"/>
    <x v="99"/>
    <s v="No"/>
    <n v="169106725"/>
    <x v="226"/>
    <x v="0"/>
    <n v="32500000"/>
  </r>
  <r>
    <n v="233"/>
    <x v="232"/>
    <n v="10"/>
    <x v="6"/>
    <x v="19"/>
    <n v="14320"/>
    <x v="146"/>
    <s v="No"/>
    <n v="168213584"/>
    <x v="227"/>
    <x v="0"/>
    <n v="0"/>
  </r>
  <r>
    <n v="234"/>
    <x v="233"/>
    <n v="10"/>
    <x v="6"/>
    <x v="39"/>
    <n v="15310"/>
    <x v="175"/>
    <s v="No"/>
    <n v="168134511"/>
    <x v="228"/>
    <x v="0"/>
    <n v="8800000"/>
  </r>
  <r>
    <n v="235"/>
    <x v="234"/>
    <n v="10"/>
    <x v="6"/>
    <x v="40"/>
    <n v="18745"/>
    <x v="82"/>
    <s v="No"/>
    <n v="168106313"/>
    <x v="229"/>
    <x v="1"/>
    <n v="25000000"/>
  </r>
  <r>
    <n v="236"/>
    <x v="235"/>
    <n v="10"/>
    <x v="6"/>
    <x v="18"/>
    <n v="10630"/>
    <x v="129"/>
    <s v="No"/>
    <n v="167767189"/>
    <x v="230"/>
    <x v="0"/>
    <n v="61000000"/>
  </r>
  <r>
    <n v="237"/>
    <x v="236"/>
    <n v="10"/>
    <x v="6"/>
    <x v="10"/>
    <n v="13360"/>
    <x v="176"/>
    <s v="Yes"/>
    <n v="167220102"/>
    <x v="231"/>
    <x v="0"/>
    <n v="102000000"/>
  </r>
  <r>
    <n v="238"/>
    <x v="237"/>
    <n v="10"/>
    <x v="6"/>
    <x v="25"/>
    <n v="10660"/>
    <x v="52"/>
    <s v="No"/>
    <n v="166225040"/>
    <x v="232"/>
    <x v="0"/>
    <n v="55000000"/>
  </r>
  <r>
    <n v="239"/>
    <x v="238"/>
    <n v="10"/>
    <x v="6"/>
    <x v="9"/>
    <n v="11725"/>
    <x v="177"/>
    <s v="No"/>
    <n v="166167230"/>
    <x v="233"/>
    <x v="0"/>
    <n v="40000000"/>
  </r>
  <r>
    <n v="240"/>
    <x v="239"/>
    <n v="80"/>
    <x v="0"/>
    <x v="0"/>
    <n v="11275"/>
    <x v="178"/>
    <s v="No"/>
    <n v="166112167"/>
    <x v="234"/>
    <x v="0"/>
    <n v="200000000"/>
  </r>
  <r>
    <n v="241"/>
    <x v="240"/>
    <n v="80"/>
    <x v="0"/>
    <x v="6"/>
    <n v="15880"/>
    <x v="179"/>
    <s v="No"/>
    <n v="166000000"/>
    <x v="235"/>
    <x v="0"/>
    <n v="20000000"/>
  </r>
  <r>
    <n v="242"/>
    <x v="241"/>
    <n v="60"/>
    <x v="3"/>
    <x v="2"/>
    <n v="10015"/>
    <x v="180"/>
    <s v="Yes"/>
    <n v="165447891"/>
    <x v="236"/>
    <x v="0"/>
    <n v="80000000"/>
  </r>
  <r>
    <n v="243"/>
    <x v="242"/>
    <n v="50"/>
    <x v="1"/>
    <x v="30"/>
    <n v="15640"/>
    <x v="181"/>
    <s v="No"/>
    <n v="165360108"/>
    <x v="237"/>
    <x v="0"/>
    <n v="50000000"/>
  </r>
  <r>
    <n v="244"/>
    <x v="243"/>
    <n v="60"/>
    <x v="3"/>
    <x v="13"/>
    <n v="12325"/>
    <x v="182"/>
    <s v="Yes"/>
    <n v="165249063"/>
    <x v="238"/>
    <x v="0"/>
    <n v="150000000"/>
  </r>
  <r>
    <n v="245"/>
    <x v="244"/>
    <n v="10"/>
    <x v="6"/>
    <x v="20"/>
    <n v="14500"/>
    <x v="183"/>
    <s v="No"/>
    <n v="165091986"/>
    <x v="239"/>
    <x v="0"/>
    <n v="87000000"/>
  </r>
  <r>
    <n v="246"/>
    <x v="245"/>
    <n v="20"/>
    <x v="5"/>
    <x v="14"/>
    <n v="10135"/>
    <x v="184"/>
    <s v="No"/>
    <n v="164606800"/>
    <x v="240"/>
    <x v="0"/>
    <n v="52000000"/>
  </r>
  <r>
    <n v="247"/>
    <x v="246"/>
    <n v="10"/>
    <x v="6"/>
    <x v="41"/>
    <n v="12130"/>
    <x v="185"/>
    <s v="No"/>
    <n v="164016972"/>
    <x v="181"/>
    <x v="0"/>
    <n v="15000000"/>
  </r>
  <r>
    <n v="248"/>
    <x v="247"/>
    <n v="10"/>
    <x v="6"/>
    <x v="0"/>
    <n v="17770"/>
    <x v="186"/>
    <s v="No"/>
    <n v="163958031"/>
    <x v="241"/>
    <x v="0"/>
    <n v="40000000"/>
  </r>
  <r>
    <n v="249"/>
    <x v="248"/>
    <n v="10"/>
    <x v="6"/>
    <x v="5"/>
    <n v="16840"/>
    <x v="187"/>
    <s v="No"/>
    <n v="163479795"/>
    <x v="242"/>
    <x v="0"/>
    <n v="30000000"/>
  </r>
  <r>
    <n v="250"/>
    <x v="249"/>
    <n v="40"/>
    <x v="4"/>
    <x v="12"/>
    <n v="10150"/>
    <x v="188"/>
    <s v="No"/>
    <n v="163214888"/>
    <x v="243"/>
    <x v="0"/>
    <n v="125000000"/>
  </r>
  <r>
    <n v="251"/>
    <x v="250"/>
    <n v="50"/>
    <x v="1"/>
    <x v="42"/>
    <n v="11515"/>
    <x v="44"/>
    <s v="No"/>
    <n v="163214286"/>
    <x v="244"/>
    <x v="1"/>
    <n v="8200000"/>
  </r>
  <r>
    <n v="252"/>
    <x v="251"/>
    <n v="60"/>
    <x v="3"/>
    <x v="18"/>
    <n v="10765"/>
    <x v="189"/>
    <s v="No"/>
    <n v="162994032"/>
    <x v="245"/>
    <x v="0"/>
    <n v="74000000"/>
  </r>
  <r>
    <n v="253"/>
    <x v="252"/>
    <n v="90"/>
    <x v="2"/>
    <x v="33"/>
    <n v="11005"/>
    <x v="190"/>
    <s v="Yes"/>
    <n v="162833635"/>
    <x v="246"/>
    <x v="0"/>
    <n v="80000000"/>
  </r>
  <r>
    <n v="254"/>
    <x v="253"/>
    <n v="50"/>
    <x v="1"/>
    <x v="13"/>
    <n v="13735"/>
    <x v="191"/>
    <s v="No"/>
    <n v="162805434"/>
    <x v="247"/>
    <x v="0"/>
    <n v="100000000"/>
  </r>
  <r>
    <n v="255"/>
    <x v="254"/>
    <n v="40"/>
    <x v="4"/>
    <x v="31"/>
    <n v="10780"/>
    <x v="96"/>
    <s v="No"/>
    <n v="162792677"/>
    <x v="248"/>
    <x v="0"/>
    <n v="45000000"/>
  </r>
  <r>
    <n v="256"/>
    <x v="255"/>
    <n v="20"/>
    <x v="5"/>
    <x v="10"/>
    <n v="19165"/>
    <x v="192"/>
    <s v="No"/>
    <n v="162586036"/>
    <x v="249"/>
    <x v="0"/>
    <n v="55000000"/>
  </r>
  <r>
    <n v="257"/>
    <x v="256"/>
    <n v="10"/>
    <x v="6"/>
    <x v="12"/>
    <n v="13720"/>
    <x v="193"/>
    <s v="No"/>
    <n v="162001186"/>
    <x v="250"/>
    <x v="0"/>
    <n v="75000000"/>
  </r>
  <r>
    <n v="258"/>
    <x v="257"/>
    <n v="10"/>
    <x v="6"/>
    <x v="31"/>
    <n v="10015"/>
    <x v="180"/>
    <s v="No"/>
    <n v="161487252"/>
    <x v="251"/>
    <x v="0"/>
    <n v="23000000"/>
  </r>
  <r>
    <n v="259"/>
    <x v="258"/>
    <n v="60"/>
    <x v="3"/>
    <x v="7"/>
    <n v="19165"/>
    <x v="192"/>
    <s v="No"/>
    <n v="161412000"/>
    <x v="252"/>
    <x v="0"/>
    <n v="75000000"/>
  </r>
  <r>
    <n v="260"/>
    <x v="259"/>
    <n v="40"/>
    <x v="4"/>
    <x v="3"/>
    <n v="17080"/>
    <x v="194"/>
    <s v="Yes"/>
    <n v="161321843"/>
    <x v="253"/>
    <x v="0"/>
    <n v="95000000"/>
  </r>
  <r>
    <n v="261"/>
    <x v="260"/>
    <n v="20"/>
    <x v="5"/>
    <x v="2"/>
    <n v="16600"/>
    <x v="195"/>
    <s v="No"/>
    <n v="161058685"/>
    <x v="254"/>
    <x v="0"/>
    <n v="28000000"/>
  </r>
  <r>
    <n v="262"/>
    <x v="261"/>
    <n v="10"/>
    <x v="6"/>
    <x v="14"/>
    <n v="15430"/>
    <x v="196"/>
    <s v="Yes"/>
    <n v="160932247"/>
    <x v="255"/>
    <x v="0"/>
    <n v="142000000"/>
  </r>
  <r>
    <n v="263"/>
    <x v="262"/>
    <n v="50"/>
    <x v="1"/>
    <x v="34"/>
    <n v="16780"/>
    <x v="197"/>
    <s v="No"/>
    <n v="159616327"/>
    <x v="181"/>
    <x v="1"/>
    <n v="5500000"/>
  </r>
  <r>
    <n v="264"/>
    <x v="263"/>
    <n v="10"/>
    <x v="6"/>
    <x v="9"/>
    <n v="17770"/>
    <x v="186"/>
    <s v="No"/>
    <n v="159581587"/>
    <x v="256"/>
    <x v="0"/>
    <n v="43000000"/>
  </r>
  <r>
    <n v="265"/>
    <x v="264"/>
    <n v="10"/>
    <x v="6"/>
    <x v="15"/>
    <n v="18700"/>
    <x v="198"/>
    <s v="No"/>
    <n v="158340892"/>
    <x v="257"/>
    <x v="0"/>
    <n v="42000000"/>
  </r>
  <r>
    <n v="266"/>
    <x v="265"/>
    <n v="10"/>
    <x v="6"/>
    <x v="17"/>
    <n v="10015"/>
    <x v="180"/>
    <s v="No"/>
    <n v="158119460"/>
    <x v="258"/>
    <x v="0"/>
    <n v="82000000"/>
  </r>
  <r>
    <n v="267"/>
    <x v="266"/>
    <n v="90"/>
    <x v="2"/>
    <x v="25"/>
    <n v="16660"/>
    <x v="104"/>
    <s v="No"/>
    <n v="157299717"/>
    <x v="107"/>
    <x v="0"/>
    <n v="165000000"/>
  </r>
  <r>
    <n v="268"/>
    <x v="267"/>
    <n v="10"/>
    <x v="6"/>
    <x v="25"/>
    <n v="17950"/>
    <x v="199"/>
    <s v="No"/>
    <n v="157019771"/>
    <x v="259"/>
    <x v="0"/>
    <n v="19000000"/>
  </r>
  <r>
    <n v="269"/>
    <x v="268"/>
    <n v="10"/>
    <x v="6"/>
    <x v="25"/>
    <n v="13120"/>
    <x v="6"/>
    <s v="No"/>
    <n v="155370362"/>
    <x v="260"/>
    <x v="0"/>
    <n v="90000000"/>
  </r>
  <r>
    <n v="270"/>
    <x v="269"/>
    <n v="40"/>
    <x v="4"/>
    <x v="5"/>
    <n v="11035"/>
    <x v="121"/>
    <s v="No"/>
    <n v="155247825"/>
    <x v="261"/>
    <x v="0"/>
    <n v="80000000"/>
  </r>
  <r>
    <n v="271"/>
    <x v="270"/>
    <n v="80"/>
    <x v="0"/>
    <x v="2"/>
    <n v="12355"/>
    <x v="200"/>
    <s v="No"/>
    <n v="155190832"/>
    <x v="262"/>
    <x v="0"/>
    <n v="110000000"/>
  </r>
  <r>
    <n v="272"/>
    <x v="271"/>
    <n v="40"/>
    <x v="4"/>
    <x v="13"/>
    <n v="15010"/>
    <x v="41"/>
    <s v="No"/>
    <n v="155136755"/>
    <x v="263"/>
    <x v="0"/>
    <n v="170000000"/>
  </r>
  <r>
    <n v="273"/>
    <x v="272"/>
    <n v="10"/>
    <x v="6"/>
    <x v="0"/>
    <n v="18040"/>
    <x v="201"/>
    <s v="Yes"/>
    <n v="155064265"/>
    <x v="264"/>
    <x v="0"/>
    <n v="85000000"/>
  </r>
  <r>
    <n v="274"/>
    <x v="273"/>
    <n v="60"/>
    <x v="3"/>
    <x v="10"/>
    <n v="11095"/>
    <x v="43"/>
    <s v="No"/>
    <n v="155019340"/>
    <x v="265"/>
    <x v="0"/>
    <n v="80000000"/>
  </r>
  <r>
    <n v="275"/>
    <x v="274"/>
    <n v="90"/>
    <x v="2"/>
    <x v="17"/>
    <n v="18160"/>
    <x v="202"/>
    <s v="No"/>
    <n v="154695569"/>
    <x v="266"/>
    <x v="0"/>
    <n v="120000000"/>
  </r>
  <r>
    <n v="276"/>
    <x v="275"/>
    <n v="40"/>
    <x v="4"/>
    <x v="4"/>
    <n v="16150"/>
    <x v="203"/>
    <s v="No"/>
    <n v="154529439"/>
    <x v="267"/>
    <x v="0"/>
    <n v="85000000"/>
  </r>
  <r>
    <n v="277"/>
    <x v="276"/>
    <n v="80"/>
    <x v="0"/>
    <x v="2"/>
    <n v="18775"/>
    <x v="204"/>
    <s v="Yes"/>
    <n v="153636354"/>
    <x v="268"/>
    <x v="0"/>
    <n v="150000000"/>
  </r>
  <r>
    <n v="278"/>
    <x v="277"/>
    <n v="10"/>
    <x v="6"/>
    <x v="22"/>
    <n v="14410"/>
    <x v="205"/>
    <s v="No"/>
    <n v="153620822"/>
    <x v="269"/>
    <x v="0"/>
    <n v="50000000"/>
  </r>
  <r>
    <n v="279"/>
    <x v="278"/>
    <n v="60"/>
    <x v="3"/>
    <x v="14"/>
    <n v="15790"/>
    <x v="206"/>
    <s v="No"/>
    <n v="153294164"/>
    <x v="244"/>
    <x v="0"/>
    <n v="84000000"/>
  </r>
  <r>
    <n v="280"/>
    <x v="279"/>
    <n v="10"/>
    <x v="6"/>
    <x v="43"/>
    <n v="17455"/>
    <x v="207"/>
    <s v="No"/>
    <n v="153000000"/>
    <x v="181"/>
    <x v="0"/>
    <n v="0"/>
  </r>
  <r>
    <n v="281"/>
    <x v="280"/>
    <n v="10"/>
    <x v="6"/>
    <x v="41"/>
    <n v="10165"/>
    <x v="208"/>
    <s v="Yes"/>
    <n v="152932902"/>
    <x v="244"/>
    <x v="0"/>
    <n v="20000000"/>
  </r>
  <r>
    <n v="282"/>
    <x v="281"/>
    <n v="10"/>
    <x v="6"/>
    <x v="4"/>
    <n v="17800"/>
    <x v="209"/>
    <s v="No"/>
    <n v="152647258"/>
    <x v="270"/>
    <x v="0"/>
    <n v="57500000"/>
  </r>
  <r>
    <n v="283"/>
    <x v="282"/>
    <n v="10"/>
    <x v="6"/>
    <x v="5"/>
    <n v="14530"/>
    <x v="210"/>
    <s v="No"/>
    <n v="152149590"/>
    <x v="271"/>
    <x v="0"/>
    <n v="70000000"/>
  </r>
  <r>
    <n v="284"/>
    <x v="283"/>
    <n v="40"/>
    <x v="4"/>
    <x v="40"/>
    <n v="10885"/>
    <x v="211"/>
    <s v="No"/>
    <n v="151931137"/>
    <x v="272"/>
    <x v="0"/>
    <n v="70000000"/>
  </r>
  <r>
    <n v="285"/>
    <x v="284"/>
    <n v="80"/>
    <x v="0"/>
    <x v="18"/>
    <n v="17935"/>
    <x v="212"/>
    <s v="No"/>
    <n v="150947895"/>
    <x v="273"/>
    <x v="0"/>
    <n v="85000000"/>
  </r>
  <r>
    <n v="286"/>
    <x v="285"/>
    <n v="10"/>
    <x v="6"/>
    <x v="32"/>
    <n v="18385"/>
    <x v="213"/>
    <s v="Yes"/>
    <n v="150415432"/>
    <x v="274"/>
    <x v="0"/>
    <n v="44000000"/>
  </r>
  <r>
    <n v="287"/>
    <x v="286"/>
    <n v="10"/>
    <x v="6"/>
    <x v="9"/>
    <n v="19150"/>
    <x v="214"/>
    <s v="No"/>
    <n v="150394119"/>
    <x v="275"/>
    <x v="0"/>
    <n v="37000000"/>
  </r>
  <r>
    <n v="288"/>
    <x v="287"/>
    <n v="80"/>
    <x v="0"/>
    <x v="16"/>
    <n v="10525"/>
    <x v="122"/>
    <s v="Yes"/>
    <n v="150358296"/>
    <x v="276"/>
    <x v="0"/>
    <n v="170000000"/>
  </r>
  <r>
    <n v="289"/>
    <x v="288"/>
    <n v="10"/>
    <x v="6"/>
    <x v="0"/>
    <n v="11125"/>
    <x v="215"/>
    <s v="No"/>
    <n v="150201498"/>
    <x v="277"/>
    <x v="0"/>
    <n v="175000000"/>
  </r>
  <r>
    <n v="290"/>
    <x v="289"/>
    <n v="20"/>
    <x v="5"/>
    <x v="9"/>
    <n v="10945"/>
    <x v="29"/>
    <s v="No"/>
    <n v="150117807"/>
    <x v="278"/>
    <x v="0"/>
    <n v="40000000"/>
  </r>
  <r>
    <n v="291"/>
    <x v="290"/>
    <n v="10"/>
    <x v="6"/>
    <x v="9"/>
    <n v="17920"/>
    <x v="216"/>
    <s v="No"/>
    <n v="150086800"/>
    <x v="279"/>
    <x v="0"/>
    <n v="18000000"/>
  </r>
  <r>
    <n v="292"/>
    <x v="291"/>
    <n v="60"/>
    <x v="3"/>
    <x v="13"/>
    <n v="10495"/>
    <x v="217"/>
    <s v="No"/>
    <n v="149260504"/>
    <x v="280"/>
    <x v="0"/>
    <n v="130000000"/>
  </r>
  <r>
    <n v="293"/>
    <x v="292"/>
    <n v="50"/>
    <x v="1"/>
    <x v="3"/>
    <n v="13270"/>
    <x v="83"/>
    <s v="No"/>
    <n v="148809770"/>
    <x v="281"/>
    <x v="0"/>
    <n v="65000000"/>
  </r>
  <r>
    <n v="294"/>
    <x v="293"/>
    <n v="10"/>
    <x v="6"/>
    <x v="19"/>
    <n v="15025"/>
    <x v="99"/>
    <s v="No"/>
    <n v="148761765"/>
    <x v="282"/>
    <x v="0"/>
    <n v="27500000"/>
  </r>
  <r>
    <n v="295"/>
    <x v="294"/>
    <n v="10"/>
    <x v="6"/>
    <x v="41"/>
    <n v="16195"/>
    <x v="218"/>
    <s v="No"/>
    <n v="148453989"/>
    <x v="283"/>
    <x v="0"/>
    <n v="14000000"/>
  </r>
  <r>
    <n v="296"/>
    <x v="295"/>
    <n v="10"/>
    <x v="6"/>
    <x v="12"/>
    <n v="18505"/>
    <x v="219"/>
    <s v="Yes"/>
    <n v="148438600"/>
    <x v="284"/>
    <x v="0"/>
    <n v="100000000"/>
  </r>
  <r>
    <n v="297"/>
    <x v="296"/>
    <n v="60"/>
    <x v="3"/>
    <x v="12"/>
    <n v="19135"/>
    <x v="220"/>
    <s v="No"/>
    <n v="148415853"/>
    <x v="285"/>
    <x v="0"/>
    <n v="130000000"/>
  </r>
  <r>
    <n v="298"/>
    <x v="297"/>
    <n v="60"/>
    <x v="3"/>
    <x v="13"/>
    <n v="10015"/>
    <x v="180"/>
    <s v="No"/>
    <n v="148313048"/>
    <x v="286"/>
    <x v="0"/>
    <n v="85000000"/>
  </r>
  <r>
    <n v="299"/>
    <x v="298"/>
    <n v="10"/>
    <x v="6"/>
    <x v="10"/>
    <n v="14290"/>
    <x v="136"/>
    <s v="No"/>
    <n v="148213377"/>
    <x v="287"/>
    <x v="0"/>
    <n v="73000000"/>
  </r>
  <r>
    <n v="300"/>
    <x v="299"/>
    <n v="40"/>
    <x v="4"/>
    <x v="29"/>
    <n v="12205"/>
    <x v="221"/>
    <s v="No"/>
    <n v="148117285"/>
    <x v="181"/>
    <x v="0"/>
    <n v="11000000"/>
  </r>
  <r>
    <n v="301"/>
    <x v="300"/>
    <n v="10"/>
    <x v="6"/>
    <x v="4"/>
    <n v="11605"/>
    <x v="222"/>
    <s v="No"/>
    <n v="148095302"/>
    <x v="288"/>
    <x v="0"/>
    <n v="25000000"/>
  </r>
  <r>
    <n v="302"/>
    <x v="301"/>
    <n v="10"/>
    <x v="6"/>
    <x v="1"/>
    <n v="15835"/>
    <x v="223"/>
    <s v="No"/>
    <n v="147637474"/>
    <x v="289"/>
    <x v="0"/>
    <n v="50000000"/>
  </r>
  <r>
    <n v="303"/>
    <x v="302"/>
    <n v="90"/>
    <x v="2"/>
    <x v="13"/>
    <n v="13675"/>
    <x v="224"/>
    <s v="Yes"/>
    <n v="146408305"/>
    <x v="107"/>
    <x v="0"/>
    <n v="165000000"/>
  </r>
  <r>
    <n v="304"/>
    <x v="303"/>
    <n v="10"/>
    <x v="6"/>
    <x v="0"/>
    <n v="14905"/>
    <x v="225"/>
    <s v="No"/>
    <n v="146336178"/>
    <x v="290"/>
    <x v="0"/>
    <n v="26000000"/>
  </r>
  <r>
    <n v="305"/>
    <x v="304"/>
    <n v="10"/>
    <x v="6"/>
    <x v="11"/>
    <n v="10840"/>
    <x v="76"/>
    <s v="No"/>
    <n v="146273950"/>
    <x v="291"/>
    <x v="0"/>
    <n v="100000000"/>
  </r>
  <r>
    <n v="306"/>
    <x v="305"/>
    <n v="60"/>
    <x v="3"/>
    <x v="14"/>
    <n v="11935"/>
    <x v="226"/>
    <s v="No"/>
    <n v="145771527"/>
    <x v="292"/>
    <x v="0"/>
    <n v="80000000"/>
  </r>
  <r>
    <n v="307"/>
    <x v="306"/>
    <n v="10"/>
    <x v="6"/>
    <x v="20"/>
    <n v="18430"/>
    <x v="227"/>
    <s v="Yes"/>
    <n v="145096820"/>
    <x v="293"/>
    <x v="0"/>
    <n v="30000000"/>
  </r>
  <r>
    <n v="308"/>
    <x v="307"/>
    <n v="10"/>
    <x v="6"/>
    <x v="0"/>
    <n v="15265"/>
    <x v="228"/>
    <s v="No"/>
    <n v="145000989"/>
    <x v="294"/>
    <x v="0"/>
    <n v="25000000"/>
  </r>
  <r>
    <n v="309"/>
    <x v="308"/>
    <n v="50"/>
    <x v="1"/>
    <x v="3"/>
    <n v="15205"/>
    <x v="1"/>
    <s v="No"/>
    <n v="144840419"/>
    <x v="295"/>
    <x v="0"/>
    <n v="190000000"/>
  </r>
  <r>
    <n v="310"/>
    <x v="309"/>
    <n v="80"/>
    <x v="0"/>
    <x v="7"/>
    <n v="10120"/>
    <x v="229"/>
    <s v="No"/>
    <n v="144795350"/>
    <x v="296"/>
    <x v="0"/>
    <n v="105000000"/>
  </r>
  <r>
    <n v="311"/>
    <x v="310"/>
    <n v="60"/>
    <x v="3"/>
    <x v="11"/>
    <n v="18580"/>
    <x v="14"/>
    <s v="No"/>
    <n v="144700007"/>
    <x v="297"/>
    <x v="0"/>
    <n v="22000000"/>
  </r>
  <r>
    <n v="312"/>
    <x v="311"/>
    <n v="10"/>
    <x v="6"/>
    <x v="20"/>
    <n v="12640"/>
    <x v="230"/>
    <s v="No"/>
    <n v="144512310"/>
    <x v="298"/>
    <x v="0"/>
    <n v="38000000"/>
  </r>
  <r>
    <n v="313"/>
    <x v="312"/>
    <n v="60"/>
    <x v="3"/>
    <x v="31"/>
    <n v="10720"/>
    <x v="231"/>
    <s v="No"/>
    <n v="144156464"/>
    <x v="299"/>
    <x v="0"/>
    <n v="71500000"/>
  </r>
  <r>
    <n v="314"/>
    <x v="313"/>
    <n v="10"/>
    <x v="6"/>
    <x v="4"/>
    <n v="15910"/>
    <x v="232"/>
    <s v="No"/>
    <n v="143762955"/>
    <x v="300"/>
    <x v="0"/>
    <n v="52000000"/>
  </r>
  <r>
    <n v="315"/>
    <x v="314"/>
    <n v="60"/>
    <x v="3"/>
    <x v="13"/>
    <n v="10435"/>
    <x v="233"/>
    <s v="No"/>
    <n v="143619809"/>
    <x v="301"/>
    <x v="0"/>
    <n v="90000000"/>
  </r>
  <r>
    <n v="316"/>
    <x v="315"/>
    <n v="10"/>
    <x v="6"/>
    <x v="19"/>
    <n v="13390"/>
    <x v="234"/>
    <s v="No"/>
    <n v="143495265"/>
    <x v="302"/>
    <x v="0"/>
    <n v="7000000"/>
  </r>
  <r>
    <n v="317"/>
    <x v="316"/>
    <n v="20"/>
    <x v="5"/>
    <x v="4"/>
    <n v="16630"/>
    <x v="109"/>
    <s v="No"/>
    <n v="143153751"/>
    <x v="303"/>
    <x v="0"/>
    <n v="60000000"/>
  </r>
  <r>
    <n v="318"/>
    <x v="317"/>
    <n v="60"/>
    <x v="3"/>
    <x v="13"/>
    <n v="10105"/>
    <x v="235"/>
    <s v="No"/>
    <n v="142614158"/>
    <x v="304"/>
    <x v="0"/>
    <n v="110000000"/>
  </r>
  <r>
    <n v="319"/>
    <x v="318"/>
    <n v="10"/>
    <x v="6"/>
    <x v="27"/>
    <n v="15865"/>
    <x v="88"/>
    <s v="Yes"/>
    <n v="141872763"/>
    <x v="305"/>
    <x v="0"/>
    <n v="0"/>
  </r>
  <r>
    <n v="320"/>
    <x v="319"/>
    <n v="60"/>
    <x v="3"/>
    <x v="44"/>
    <n v="12970"/>
    <x v="236"/>
    <s v="No"/>
    <n v="141843000"/>
    <x v="181"/>
    <x v="0"/>
    <n v="0"/>
  </r>
  <r>
    <n v="321"/>
    <x v="320"/>
    <n v="10"/>
    <x v="6"/>
    <x v="14"/>
    <n v="19060"/>
    <x v="28"/>
    <s v="No"/>
    <n v="141715000"/>
    <x v="306"/>
    <x v="0"/>
    <n v="70000000"/>
  </r>
  <r>
    <n v="322"/>
    <x v="321"/>
    <n v="40"/>
    <x v="4"/>
    <x v="4"/>
    <n v="16810"/>
    <x v="237"/>
    <s v="Yes"/>
    <n v="141621490"/>
    <x v="307"/>
    <x v="0"/>
    <n v="225000000"/>
  </r>
  <r>
    <n v="323"/>
    <x v="322"/>
    <n v="10"/>
    <x v="6"/>
    <x v="38"/>
    <n v="14845"/>
    <x v="238"/>
    <s v="No"/>
    <n v="141600000"/>
    <x v="181"/>
    <x v="0"/>
    <n v="3000000"/>
  </r>
  <r>
    <n v="324"/>
    <x v="323"/>
    <n v="50"/>
    <x v="1"/>
    <x v="36"/>
    <n v="15865"/>
    <x v="88"/>
    <s v="No"/>
    <n v="141567679"/>
    <x v="308"/>
    <x v="0"/>
    <n v="55000000"/>
  </r>
  <r>
    <n v="325"/>
    <x v="324"/>
    <n v="10"/>
    <x v="6"/>
    <x v="4"/>
    <n v="13315"/>
    <x v="239"/>
    <s v="No"/>
    <n v="141319928"/>
    <x v="309"/>
    <x v="0"/>
    <n v="14000000"/>
  </r>
  <r>
    <n v="326"/>
    <x v="325"/>
    <n v="10"/>
    <x v="6"/>
    <x v="31"/>
    <n v="13495"/>
    <x v="91"/>
    <s v="No"/>
    <n v="141153686"/>
    <x v="310"/>
    <x v="0"/>
    <n v="35000000"/>
  </r>
  <r>
    <n v="327"/>
    <x v="326"/>
    <n v="10"/>
    <x v="6"/>
    <x v="5"/>
    <n v="16645"/>
    <x v="240"/>
    <s v="No"/>
    <n v="140539099"/>
    <x v="311"/>
    <x v="0"/>
    <n v="60000"/>
  </r>
  <r>
    <n v="328"/>
    <x v="327"/>
    <n v="10"/>
    <x v="6"/>
    <x v="33"/>
    <n v="13660"/>
    <x v="241"/>
    <s v="No"/>
    <n v="140525790"/>
    <x v="312"/>
    <x v="0"/>
    <n v="33000000"/>
  </r>
  <r>
    <n v="329"/>
    <x v="328"/>
    <n v="80"/>
    <x v="0"/>
    <x v="31"/>
    <n v="12715"/>
    <x v="242"/>
    <s v="No"/>
    <n v="140300426"/>
    <x v="313"/>
    <x v="0"/>
    <n v="80000000"/>
  </r>
  <r>
    <n v="330"/>
    <x v="329"/>
    <n v="40"/>
    <x v="4"/>
    <x v="26"/>
    <n v="18355"/>
    <x v="243"/>
    <s v="No"/>
    <n v="140241017"/>
    <x v="181"/>
    <x v="0"/>
    <n v="1200000"/>
  </r>
  <r>
    <n v="331"/>
    <x v="330"/>
    <n v="10"/>
    <x v="6"/>
    <x v="19"/>
    <n v="13495"/>
    <x v="91"/>
    <s v="Yes"/>
    <n v="140125968"/>
    <x v="314"/>
    <x v="0"/>
    <n v="180000000"/>
  </r>
  <r>
    <n v="332"/>
    <x v="331"/>
    <n v="60"/>
    <x v="3"/>
    <x v="5"/>
    <n v="16060"/>
    <x v="244"/>
    <s v="No"/>
    <n v="140015224"/>
    <x v="315"/>
    <x v="0"/>
    <n v="105000000"/>
  </r>
  <r>
    <n v="333"/>
    <x v="332"/>
    <n v="10"/>
    <x v="6"/>
    <x v="13"/>
    <n v="15265"/>
    <x v="228"/>
    <s v="Yes"/>
    <n v="139854287"/>
    <x v="316"/>
    <x v="0"/>
    <n v="45000000"/>
  </r>
  <r>
    <n v="334"/>
    <x v="333"/>
    <n v="10"/>
    <x v="6"/>
    <x v="33"/>
    <n v="15865"/>
    <x v="88"/>
    <s v="Yes"/>
    <n v="139799547"/>
    <x v="317"/>
    <x v="0"/>
    <n v="35000000"/>
  </r>
  <r>
    <n v="335"/>
    <x v="334"/>
    <n v="10"/>
    <x v="6"/>
    <x v="6"/>
    <n v="14320"/>
    <x v="146"/>
    <s v="No"/>
    <n v="139486124"/>
    <x v="318"/>
    <x v="0"/>
    <n v="0"/>
  </r>
  <r>
    <n v="336"/>
    <x v="335"/>
    <n v="80"/>
    <x v="0"/>
    <x v="16"/>
    <n v="14755"/>
    <x v="51"/>
    <s v="Yes"/>
    <n v="139259759"/>
    <x v="319"/>
    <x v="0"/>
    <n v="150000000"/>
  </r>
  <r>
    <n v="337"/>
    <x v="336"/>
    <n v="60"/>
    <x v="3"/>
    <x v="14"/>
    <n v="18580"/>
    <x v="14"/>
    <s v="Yes"/>
    <n v="139225854"/>
    <x v="320"/>
    <x v="0"/>
    <n v="65000000"/>
  </r>
  <r>
    <n v="338"/>
    <x v="337"/>
    <n v="20"/>
    <x v="5"/>
    <x v="12"/>
    <n v="11635"/>
    <x v="245"/>
    <s v="No"/>
    <n v="138797449"/>
    <x v="321"/>
    <x v="1"/>
    <n v="15000000"/>
  </r>
  <r>
    <n v="339"/>
    <x v="338"/>
    <n v="10"/>
    <x v="6"/>
    <x v="16"/>
    <n v="18010"/>
    <x v="246"/>
    <s v="No"/>
    <n v="138614544"/>
    <x v="322"/>
    <x v="0"/>
    <n v="40000000"/>
  </r>
  <r>
    <n v="340"/>
    <x v="339"/>
    <n v="10"/>
    <x v="6"/>
    <x v="16"/>
    <n v="16105"/>
    <x v="247"/>
    <s v="Yes"/>
    <n v="138540870"/>
    <x v="323"/>
    <x v="0"/>
    <n v="130000000"/>
  </r>
  <r>
    <n v="341"/>
    <x v="340"/>
    <n v="10"/>
    <x v="6"/>
    <x v="13"/>
    <n v="14395"/>
    <x v="134"/>
    <s v="No"/>
    <n v="138447667"/>
    <x v="324"/>
    <x v="0"/>
    <n v="42000000"/>
  </r>
  <r>
    <n v="342"/>
    <x v="341"/>
    <n v="10"/>
    <x v="6"/>
    <x v="1"/>
    <n v="15685"/>
    <x v="112"/>
    <s v="No"/>
    <n v="138339411"/>
    <x v="325"/>
    <x v="0"/>
    <n v="10000000"/>
  </r>
  <r>
    <n v="343"/>
    <x v="342"/>
    <n v="40"/>
    <x v="4"/>
    <x v="0"/>
    <n v="18100"/>
    <x v="248"/>
    <s v="No"/>
    <n v="137855863"/>
    <x v="326"/>
    <x v="0"/>
    <n v="190000000"/>
  </r>
  <r>
    <n v="344"/>
    <x v="343"/>
    <n v="60"/>
    <x v="3"/>
    <x v="25"/>
    <n v="13180"/>
    <x v="249"/>
    <s v="No"/>
    <n v="137748063"/>
    <x v="327"/>
    <x v="0"/>
    <n v="127500000"/>
  </r>
  <r>
    <n v="345"/>
    <x v="344"/>
    <n v="40"/>
    <x v="4"/>
    <x v="9"/>
    <n v="19030"/>
    <x v="250"/>
    <s v="No"/>
    <n v="137400141"/>
    <x v="328"/>
    <x v="0"/>
    <n v="20000000"/>
  </r>
  <r>
    <n v="346"/>
    <x v="345"/>
    <n v="40"/>
    <x v="4"/>
    <x v="10"/>
    <n v="15490"/>
    <x v="251"/>
    <s v="No"/>
    <n v="137340146"/>
    <x v="329"/>
    <x v="0"/>
    <n v="82500000"/>
  </r>
  <r>
    <n v="347"/>
    <x v="346"/>
    <n v="40"/>
    <x v="4"/>
    <x v="5"/>
    <n v="10810"/>
    <x v="252"/>
    <s v="No"/>
    <n v="136801374"/>
    <x v="330"/>
    <x v="0"/>
    <n v="60000000"/>
  </r>
  <r>
    <n v="348"/>
    <x v="347"/>
    <n v="10"/>
    <x v="6"/>
    <x v="22"/>
    <n v="15280"/>
    <x v="253"/>
    <s v="No"/>
    <n v="136448821"/>
    <x v="331"/>
    <x v="0"/>
    <n v="70000000"/>
  </r>
  <r>
    <n v="349"/>
    <x v="279"/>
    <n v="60"/>
    <x v="3"/>
    <x v="22"/>
    <n v="12745"/>
    <x v="32"/>
    <s v="No"/>
    <n v="136182161"/>
    <x v="181"/>
    <x v="0"/>
    <n v="0"/>
  </r>
  <r>
    <n v="350"/>
    <x v="159"/>
    <n v="80"/>
    <x v="0"/>
    <x v="31"/>
    <n v="15745"/>
    <x v="254"/>
    <s v="No"/>
    <n v="136142003"/>
    <x v="157"/>
    <x v="0"/>
    <n v="125000000"/>
  </r>
  <r>
    <n v="351"/>
    <x v="348"/>
    <n v="50"/>
    <x v="1"/>
    <x v="3"/>
    <n v="10630"/>
    <x v="129"/>
    <s v="No"/>
    <n v="136025503"/>
    <x v="332"/>
    <x v="1"/>
    <n v="44500000"/>
  </r>
  <r>
    <n v="352"/>
    <x v="349"/>
    <n v="10"/>
    <x v="6"/>
    <x v="16"/>
    <n v="17590"/>
    <x v="255"/>
    <s v="No"/>
    <n v="135560942"/>
    <x v="333"/>
    <x v="0"/>
    <n v="56000000"/>
  </r>
  <r>
    <n v="353"/>
    <x v="350"/>
    <n v="60"/>
    <x v="3"/>
    <x v="17"/>
    <n v="10225"/>
    <x v="256"/>
    <s v="No"/>
    <n v="135386665"/>
    <x v="334"/>
    <x v="0"/>
    <n v="60000000"/>
  </r>
  <r>
    <n v="354"/>
    <x v="351"/>
    <n v="10"/>
    <x v="6"/>
    <x v="31"/>
    <n v="17425"/>
    <x v="97"/>
    <s v="No"/>
    <n v="135014968"/>
    <x v="335"/>
    <x v="0"/>
    <n v="50000000"/>
  </r>
  <r>
    <n v="355"/>
    <x v="352"/>
    <n v="10"/>
    <x v="6"/>
    <x v="40"/>
    <n v="14965"/>
    <x v="257"/>
    <s v="No"/>
    <n v="134837533"/>
    <x v="336"/>
    <x v="0"/>
    <n v="0"/>
  </r>
  <r>
    <n v="356"/>
    <x v="353"/>
    <n v="50"/>
    <x v="1"/>
    <x v="45"/>
    <n v="15580"/>
    <x v="258"/>
    <s v="No"/>
    <n v="134821952"/>
    <x v="337"/>
    <x v="1"/>
    <n v="7000000"/>
  </r>
  <r>
    <n v="357"/>
    <x v="354"/>
    <n v="10"/>
    <x v="6"/>
    <x v="2"/>
    <n v="11830"/>
    <x v="37"/>
    <s v="No"/>
    <n v="134659531"/>
    <x v="338"/>
    <x v="0"/>
    <n v="300000000"/>
  </r>
  <r>
    <n v="358"/>
    <x v="355"/>
    <n v="90"/>
    <x v="2"/>
    <x v="4"/>
    <n v="18160"/>
    <x v="202"/>
    <s v="No"/>
    <n v="134533885"/>
    <x v="339"/>
    <x v="0"/>
    <n v="137500000"/>
  </r>
  <r>
    <n v="359"/>
    <x v="356"/>
    <n v="10"/>
    <x v="6"/>
    <x v="19"/>
    <n v="11095"/>
    <x v="43"/>
    <s v="Yes"/>
    <n v="134529403"/>
    <x v="340"/>
    <x v="0"/>
    <n v="110000000"/>
  </r>
  <r>
    <n v="360"/>
    <x v="357"/>
    <n v="10"/>
    <x v="6"/>
    <x v="9"/>
    <n v="16330"/>
    <x v="259"/>
    <s v="No"/>
    <n v="134506920"/>
    <x v="341"/>
    <x v="0"/>
    <n v="35000000"/>
  </r>
  <r>
    <n v="361"/>
    <x v="358"/>
    <n v="80"/>
    <x v="0"/>
    <x v="4"/>
    <n v="13675"/>
    <x v="224"/>
    <s v="No"/>
    <n v="134327125"/>
    <x v="342"/>
    <x v="0"/>
    <n v="75000000"/>
  </r>
  <r>
    <n v="362"/>
    <x v="359"/>
    <n v="90"/>
    <x v="2"/>
    <x v="38"/>
    <n v="18490"/>
    <x v="260"/>
    <s v="No"/>
    <n v="134218018"/>
    <x v="343"/>
    <x v="0"/>
    <n v="55000000"/>
  </r>
  <r>
    <n v="363"/>
    <x v="360"/>
    <n v="10"/>
    <x v="6"/>
    <x v="13"/>
    <n v="13300"/>
    <x v="261"/>
    <s v="No"/>
    <n v="134202565"/>
    <x v="344"/>
    <x v="0"/>
    <n v="25000000"/>
  </r>
  <r>
    <n v="364"/>
    <x v="361"/>
    <n v="10"/>
    <x v="6"/>
    <x v="22"/>
    <n v="16465"/>
    <x v="94"/>
    <s v="No"/>
    <n v="133955936"/>
    <x v="345"/>
    <x v="0"/>
    <n v="75000000"/>
  </r>
  <r>
    <n v="365"/>
    <x v="362"/>
    <n v="10"/>
    <x v="6"/>
    <x v="3"/>
    <n v="10015"/>
    <x v="180"/>
    <s v="Yes"/>
    <n v="133668525"/>
    <x v="346"/>
    <x v="0"/>
    <n v="80000000"/>
  </r>
  <r>
    <n v="366"/>
    <x v="363"/>
    <n v="10"/>
    <x v="6"/>
    <x v="10"/>
    <n v="18745"/>
    <x v="82"/>
    <s v="Yes"/>
    <n v="133501348"/>
    <x v="347"/>
    <x v="0"/>
    <n v="150000000"/>
  </r>
  <r>
    <n v="367"/>
    <x v="364"/>
    <n v="10"/>
    <x v="6"/>
    <x v="0"/>
    <n v="10510"/>
    <x v="262"/>
    <s v="Yes"/>
    <n v="133375846"/>
    <x v="348"/>
    <x v="0"/>
    <n v="150000000"/>
  </r>
  <r>
    <n v="368"/>
    <x v="365"/>
    <n v="50"/>
    <x v="1"/>
    <x v="7"/>
    <n v="10930"/>
    <x v="120"/>
    <s v="No"/>
    <n v="133298577"/>
    <x v="349"/>
    <x v="0"/>
    <n v="150000000"/>
  </r>
  <r>
    <n v="369"/>
    <x v="366"/>
    <n v="60"/>
    <x v="3"/>
    <x v="13"/>
    <n v="13825"/>
    <x v="263"/>
    <s v="Yes"/>
    <n v="133107389"/>
    <x v="350"/>
    <x v="0"/>
    <n v="80000000"/>
  </r>
  <r>
    <n v="370"/>
    <x v="367"/>
    <n v="50"/>
    <x v="1"/>
    <x v="39"/>
    <n v="18715"/>
    <x v="264"/>
    <s v="No"/>
    <n v="132761962"/>
    <x v="181"/>
    <x v="1"/>
    <n v="6000000"/>
  </r>
  <r>
    <n v="371"/>
    <x v="368"/>
    <n v="10"/>
    <x v="6"/>
    <x v="16"/>
    <n v="18235"/>
    <x v="265"/>
    <s v="No"/>
    <n v="132675402"/>
    <x v="351"/>
    <x v="0"/>
    <n v="20000000"/>
  </r>
  <r>
    <n v="372"/>
    <x v="369"/>
    <n v="90"/>
    <x v="2"/>
    <x v="9"/>
    <n v="13270"/>
    <x v="83"/>
    <s v="Yes"/>
    <n v="132556852"/>
    <x v="352"/>
    <x v="0"/>
    <n v="115000000"/>
  </r>
  <r>
    <n v="373"/>
    <x v="370"/>
    <n v="10"/>
    <x v="6"/>
    <x v="10"/>
    <n v="12010"/>
    <x v="266"/>
    <s v="No"/>
    <n v="132384315"/>
    <x v="353"/>
    <x v="1"/>
    <n v="90000000"/>
  </r>
  <r>
    <n v="374"/>
    <x v="371"/>
    <n v="10"/>
    <x v="6"/>
    <x v="33"/>
    <n v="16450"/>
    <x v="267"/>
    <s v="No"/>
    <n v="132303799"/>
    <x v="354"/>
    <x v="0"/>
    <n v="0"/>
  </r>
  <r>
    <n v="375"/>
    <x v="372"/>
    <n v="90"/>
    <x v="2"/>
    <x v="16"/>
    <n v="16090"/>
    <x v="268"/>
    <s v="No"/>
    <n v="132177234"/>
    <x v="355"/>
    <x v="0"/>
    <n v="137000000"/>
  </r>
  <r>
    <n v="376"/>
    <x v="373"/>
    <n v="10"/>
    <x v="6"/>
    <x v="3"/>
    <n v="10945"/>
    <x v="29"/>
    <s v="No"/>
    <n v="132092958"/>
    <x v="356"/>
    <x v="0"/>
    <n v="21000000"/>
  </r>
  <r>
    <n v="377"/>
    <x v="374"/>
    <n v="80"/>
    <x v="0"/>
    <x v="14"/>
    <n v="18745"/>
    <x v="82"/>
    <s v="No"/>
    <n v="132024714"/>
    <x v="357"/>
    <x v="0"/>
    <n v="102000000"/>
  </r>
  <r>
    <n v="378"/>
    <x v="375"/>
    <n v="90"/>
    <x v="2"/>
    <x v="19"/>
    <n v="18160"/>
    <x v="202"/>
    <s v="Yes"/>
    <n v="131921738"/>
    <x v="358"/>
    <x v="0"/>
    <n v="120000000"/>
  </r>
  <r>
    <n v="379"/>
    <x v="376"/>
    <n v="40"/>
    <x v="4"/>
    <x v="12"/>
    <n v="11590"/>
    <x v="269"/>
    <s v="No"/>
    <n v="131601062"/>
    <x v="359"/>
    <x v="0"/>
    <n v="150000000"/>
  </r>
  <r>
    <n v="380"/>
    <x v="377"/>
    <n v="60"/>
    <x v="3"/>
    <x v="18"/>
    <n v="14095"/>
    <x v="270"/>
    <s v="Yes"/>
    <n v="131538435"/>
    <x v="360"/>
    <x v="0"/>
    <n v="130000000"/>
  </r>
  <r>
    <n v="381"/>
    <x v="378"/>
    <n v="10"/>
    <x v="6"/>
    <x v="20"/>
    <n v="14380"/>
    <x v="150"/>
    <s v="No"/>
    <n v="131144183"/>
    <x v="361"/>
    <x v="0"/>
    <n v="94000000"/>
  </r>
  <r>
    <n v="382"/>
    <x v="379"/>
    <n v="10"/>
    <x v="6"/>
    <x v="4"/>
    <n v="18205"/>
    <x v="26"/>
    <s v="No"/>
    <n v="130319208"/>
    <x v="362"/>
    <x v="0"/>
    <n v="150000000"/>
  </r>
  <r>
    <n v="383"/>
    <x v="380"/>
    <n v="80"/>
    <x v="0"/>
    <x v="2"/>
    <n v="18520"/>
    <x v="271"/>
    <s v="Yes"/>
    <n v="130179072"/>
    <x v="363"/>
    <x v="0"/>
    <n v="110000000"/>
  </r>
  <r>
    <n v="384"/>
    <x v="381"/>
    <n v="20"/>
    <x v="5"/>
    <x v="19"/>
    <n v="14860"/>
    <x v="272"/>
    <s v="No"/>
    <n v="130164645"/>
    <x v="364"/>
    <x v="0"/>
    <n v="100000000"/>
  </r>
  <r>
    <n v="385"/>
    <x v="382"/>
    <n v="10"/>
    <x v="6"/>
    <x v="5"/>
    <n v="18310"/>
    <x v="273"/>
    <s v="No"/>
    <n v="130058047"/>
    <x v="365"/>
    <x v="1"/>
    <n v="15000000"/>
  </r>
  <r>
    <n v="386"/>
    <x v="383"/>
    <n v="80"/>
    <x v="0"/>
    <x v="27"/>
    <n v="15715"/>
    <x v="274"/>
    <s v="No"/>
    <n v="129906514"/>
    <x v="366"/>
    <x v="0"/>
    <n v="0"/>
  </r>
  <r>
    <n v="387"/>
    <x v="384"/>
    <n v="10"/>
    <x v="6"/>
    <x v="31"/>
    <n v="15865"/>
    <x v="88"/>
    <s v="Yes"/>
    <n v="129734803"/>
    <x v="367"/>
    <x v="0"/>
    <n v="140000000"/>
  </r>
  <r>
    <n v="388"/>
    <x v="385"/>
    <n v="10"/>
    <x v="6"/>
    <x v="14"/>
    <n v="16375"/>
    <x v="275"/>
    <s v="No"/>
    <n v="129094024"/>
    <x v="368"/>
    <x v="0"/>
    <n v="48000000"/>
  </r>
  <r>
    <n v="389"/>
    <x v="386"/>
    <n v="60"/>
    <x v="3"/>
    <x v="22"/>
    <n v="13510"/>
    <x v="276"/>
    <s v="No"/>
    <n v="128769345"/>
    <x v="369"/>
    <x v="0"/>
    <n v="55000000"/>
  </r>
  <r>
    <n v="390"/>
    <x v="387"/>
    <n v="10"/>
    <x v="6"/>
    <x v="10"/>
    <n v="14815"/>
    <x v="277"/>
    <s v="No"/>
    <n v="128505958"/>
    <x v="370"/>
    <x v="0"/>
    <n v="18000000"/>
  </r>
  <r>
    <n v="391"/>
    <x v="388"/>
    <n v="10"/>
    <x v="6"/>
    <x v="18"/>
    <n v="11635"/>
    <x v="245"/>
    <s v="No"/>
    <n v="128261724"/>
    <x v="371"/>
    <x v="0"/>
    <n v="0"/>
  </r>
  <r>
    <n v="392"/>
    <x v="389"/>
    <n v="60"/>
    <x v="3"/>
    <x v="17"/>
    <n v="12610"/>
    <x v="278"/>
    <s v="No"/>
    <n v="128200012"/>
    <x v="372"/>
    <x v="0"/>
    <n v="80000000"/>
  </r>
  <r>
    <n v="393"/>
    <x v="390"/>
    <n v="40"/>
    <x v="4"/>
    <x v="25"/>
    <n v="15250"/>
    <x v="279"/>
    <s v="No"/>
    <n v="128067808"/>
    <x v="373"/>
    <x v="0"/>
    <n v="15000000"/>
  </r>
  <r>
    <n v="394"/>
    <x v="391"/>
    <n v="50"/>
    <x v="1"/>
    <x v="0"/>
    <n v="15205"/>
    <x v="1"/>
    <s v="No"/>
    <n v="128012934"/>
    <x v="374"/>
    <x v="0"/>
    <n v="80000000"/>
  </r>
  <r>
    <n v="395"/>
    <x v="392"/>
    <n v="40"/>
    <x v="4"/>
    <x v="18"/>
    <n v="14350"/>
    <x v="12"/>
    <s v="No"/>
    <n v="128002372"/>
    <x v="375"/>
    <x v="0"/>
    <n v="50000000"/>
  </r>
  <r>
    <n v="396"/>
    <x v="393"/>
    <n v="40"/>
    <x v="4"/>
    <x v="19"/>
    <n v="17125"/>
    <x v="280"/>
    <s v="No"/>
    <n v="127706877"/>
    <x v="376"/>
    <x v="0"/>
    <n v="85000000"/>
  </r>
  <r>
    <n v="397"/>
    <x v="394"/>
    <n v="40"/>
    <x v="4"/>
    <x v="4"/>
    <n v="15415"/>
    <x v="281"/>
    <s v="No"/>
    <n v="127509326"/>
    <x v="377"/>
    <x v="0"/>
    <n v="160000000"/>
  </r>
  <r>
    <n v="398"/>
    <x v="395"/>
    <n v="50"/>
    <x v="1"/>
    <x v="13"/>
    <n v="11470"/>
    <x v="282"/>
    <s v="Yes"/>
    <n v="127352707"/>
    <x v="378"/>
    <x v="0"/>
    <n v="50000000"/>
  </r>
  <r>
    <n v="399"/>
    <x v="396"/>
    <n v="10"/>
    <x v="6"/>
    <x v="8"/>
    <n v="17155"/>
    <x v="283"/>
    <s v="No"/>
    <n v="127311887"/>
    <x v="379"/>
    <x v="0"/>
    <n v="46000000"/>
  </r>
  <r>
    <n v="400"/>
    <x v="397"/>
    <n v="10"/>
    <x v="6"/>
    <x v="14"/>
    <n v="17110"/>
    <x v="130"/>
    <s v="No"/>
    <n v="127214072"/>
    <x v="380"/>
    <x v="0"/>
    <n v="38000000"/>
  </r>
  <r>
    <n v="401"/>
    <x v="398"/>
    <n v="10"/>
    <x v="6"/>
    <x v="11"/>
    <n v="13105"/>
    <x v="284"/>
    <s v="No"/>
    <n v="127140750"/>
    <x v="381"/>
    <x v="0"/>
    <n v="16000000"/>
  </r>
  <r>
    <n v="402"/>
    <x v="399"/>
    <n v="10"/>
    <x v="6"/>
    <x v="16"/>
    <n v="17380"/>
    <x v="285"/>
    <s v="Yes"/>
    <n v="127120058"/>
    <x v="382"/>
    <x v="0"/>
    <n v="76000000"/>
  </r>
  <r>
    <n v="403"/>
    <x v="400"/>
    <n v="80"/>
    <x v="0"/>
    <x v="12"/>
    <n v="15040"/>
    <x v="98"/>
    <s v="No"/>
    <n v="127004179"/>
    <x v="383"/>
    <x v="0"/>
    <n v="50000000"/>
  </r>
  <r>
    <n v="404"/>
    <x v="401"/>
    <n v="10"/>
    <x v="6"/>
    <x v="5"/>
    <n v="16975"/>
    <x v="286"/>
    <s v="Yes"/>
    <n v="126930660"/>
    <x v="384"/>
    <x v="0"/>
    <n v="135000000"/>
  </r>
  <r>
    <n v="405"/>
    <x v="402"/>
    <n v="10"/>
    <x v="6"/>
    <x v="1"/>
    <n v="14530"/>
    <x v="210"/>
    <s v="No"/>
    <n v="126805112"/>
    <x v="385"/>
    <x v="0"/>
    <n v="46000000"/>
  </r>
  <r>
    <n v="406"/>
    <x v="403"/>
    <n v="10"/>
    <x v="6"/>
    <x v="6"/>
    <n v="17680"/>
    <x v="287"/>
    <s v="No"/>
    <n v="126737428"/>
    <x v="309"/>
    <x v="0"/>
    <n v="14000000"/>
  </r>
  <r>
    <n v="407"/>
    <x v="404"/>
    <n v="60"/>
    <x v="3"/>
    <x v="19"/>
    <n v="18940"/>
    <x v="288"/>
    <s v="No"/>
    <n v="126631277"/>
    <x v="386"/>
    <x v="0"/>
    <n v="150000000"/>
  </r>
  <r>
    <n v="408"/>
    <x v="405"/>
    <n v="80"/>
    <x v="0"/>
    <x v="18"/>
    <n v="17830"/>
    <x v="3"/>
    <s v="No"/>
    <n v="126573960"/>
    <x v="387"/>
    <x v="0"/>
    <n v="40000000"/>
  </r>
  <r>
    <n v="409"/>
    <x v="406"/>
    <n v="80"/>
    <x v="0"/>
    <x v="13"/>
    <n v="16540"/>
    <x v="289"/>
    <s v="No"/>
    <n v="126477084"/>
    <x v="388"/>
    <x v="0"/>
    <n v="125000000"/>
  </r>
  <r>
    <n v="410"/>
    <x v="407"/>
    <n v="10"/>
    <x v="6"/>
    <x v="14"/>
    <n v="10015"/>
    <x v="180"/>
    <s v="No"/>
    <n v="126203320"/>
    <x v="389"/>
    <x v="0"/>
    <n v="50000000"/>
  </r>
  <r>
    <n v="411"/>
    <x v="408"/>
    <n v="10"/>
    <x v="6"/>
    <x v="13"/>
    <n v="12115"/>
    <x v="290"/>
    <s v="No"/>
    <n v="126181630"/>
    <x v="390"/>
    <x v="0"/>
    <n v="85000000"/>
  </r>
  <r>
    <n v="412"/>
    <x v="409"/>
    <n v="30"/>
    <x v="7"/>
    <x v="32"/>
    <n v="10000"/>
    <x v="141"/>
    <s v="No"/>
    <n v="125900000"/>
    <x v="391"/>
    <x v="0"/>
    <n v="65000000"/>
  </r>
  <r>
    <n v="413"/>
    <x v="410"/>
    <n v="20"/>
    <x v="5"/>
    <x v="25"/>
    <n v="18415"/>
    <x v="59"/>
    <s v="No"/>
    <n v="125548685"/>
    <x v="392"/>
    <x v="0"/>
    <n v="50000000"/>
  </r>
  <r>
    <n v="414"/>
    <x v="411"/>
    <n v="10"/>
    <x v="6"/>
    <x v="7"/>
    <n v="12925"/>
    <x v="55"/>
    <s v="Yes"/>
    <n v="125531634"/>
    <x v="393"/>
    <x v="0"/>
    <n v="110000000"/>
  </r>
  <r>
    <n v="415"/>
    <x v="412"/>
    <n v="10"/>
    <x v="6"/>
    <x v="31"/>
    <n v="14155"/>
    <x v="147"/>
    <s v="No"/>
    <n v="125466701"/>
    <x v="394"/>
    <x v="0"/>
    <n v="60000000"/>
  </r>
  <r>
    <n v="416"/>
    <x v="413"/>
    <n v="50"/>
    <x v="1"/>
    <x v="11"/>
    <n v="11860"/>
    <x v="291"/>
    <s v="No"/>
    <n v="125388575"/>
    <x v="395"/>
    <x v="0"/>
    <n v="45000000"/>
  </r>
  <r>
    <n v="417"/>
    <x v="414"/>
    <n v="80"/>
    <x v="0"/>
    <x v="0"/>
    <n v="11455"/>
    <x v="8"/>
    <s v="Yes"/>
    <n v="125322469"/>
    <x v="396"/>
    <x v="0"/>
    <n v="200000000"/>
  </r>
  <r>
    <n v="418"/>
    <x v="415"/>
    <n v="10"/>
    <x v="6"/>
    <x v="25"/>
    <n v="16090"/>
    <x v="268"/>
    <s v="No"/>
    <n v="125305545"/>
    <x v="397"/>
    <x v="0"/>
    <n v="90000000"/>
  </r>
  <r>
    <n v="419"/>
    <x v="416"/>
    <n v="10"/>
    <x v="6"/>
    <x v="1"/>
    <n v="16975"/>
    <x v="286"/>
    <s v="Yes"/>
    <n v="125279326"/>
    <x v="398"/>
    <x v="0"/>
    <n v="110000000"/>
  </r>
  <r>
    <n v="420"/>
    <x v="417"/>
    <n v="20"/>
    <x v="5"/>
    <x v="13"/>
    <n v="15565"/>
    <x v="72"/>
    <s v="No"/>
    <n v="125095601"/>
    <x v="399"/>
    <x v="0"/>
    <n v="40000000"/>
  </r>
  <r>
    <n v="421"/>
    <x v="418"/>
    <n v="50"/>
    <x v="1"/>
    <x v="13"/>
    <n v="17005"/>
    <x v="292"/>
    <s v="No"/>
    <n v="125014030"/>
    <x v="400"/>
    <x v="0"/>
    <n v="30000000"/>
  </r>
  <r>
    <n v="422"/>
    <x v="419"/>
    <n v="40"/>
    <x v="4"/>
    <x v="13"/>
    <n v="18340"/>
    <x v="293"/>
    <s v="No"/>
    <n v="124987022"/>
    <x v="401"/>
    <x v="0"/>
    <n v="120000000"/>
  </r>
  <r>
    <n v="423"/>
    <x v="420"/>
    <n v="10"/>
    <x v="6"/>
    <x v="18"/>
    <n v="17935"/>
    <x v="212"/>
    <s v="No"/>
    <n v="124872350"/>
    <x v="402"/>
    <x v="0"/>
    <n v="12000000"/>
  </r>
  <r>
    <n v="424"/>
    <x v="421"/>
    <n v="60"/>
    <x v="3"/>
    <x v="0"/>
    <n v="16420"/>
    <x v="294"/>
    <s v="No"/>
    <n v="124870275"/>
    <x v="403"/>
    <x v="0"/>
    <n v="100000000"/>
  </r>
  <r>
    <n v="425"/>
    <x v="422"/>
    <n v="10"/>
    <x v="6"/>
    <x v="10"/>
    <n v="12505"/>
    <x v="295"/>
    <s v="No"/>
    <n v="124740460"/>
    <x v="404"/>
    <x v="0"/>
    <n v="35000000"/>
  </r>
  <r>
    <n v="426"/>
    <x v="423"/>
    <n v="10"/>
    <x v="6"/>
    <x v="16"/>
    <n v="13450"/>
    <x v="296"/>
    <s v="No"/>
    <n v="124685242"/>
    <x v="405"/>
    <x v="0"/>
    <n v="80000000"/>
  </r>
  <r>
    <n v="427"/>
    <x v="175"/>
    <n v="40"/>
    <x v="4"/>
    <x v="24"/>
    <n v="12430"/>
    <x v="297"/>
    <s v="No"/>
    <n v="124635290"/>
    <x v="173"/>
    <x v="0"/>
    <n v="13500000"/>
  </r>
  <r>
    <n v="428"/>
    <x v="424"/>
    <n v="10"/>
    <x v="6"/>
    <x v="30"/>
    <n v="14230"/>
    <x v="298"/>
    <s v="No"/>
    <n v="124507594"/>
    <x v="369"/>
    <x v="1"/>
    <n v="20000000"/>
  </r>
  <r>
    <n v="429"/>
    <x v="425"/>
    <n v="10"/>
    <x v="6"/>
    <x v="25"/>
    <n v="15985"/>
    <x v="299"/>
    <s v="No"/>
    <n v="124107476"/>
    <x v="406"/>
    <x v="0"/>
    <n v="48000000"/>
  </r>
  <r>
    <n v="430"/>
    <x v="426"/>
    <n v="10"/>
    <x v="6"/>
    <x v="32"/>
    <n v="18385"/>
    <x v="213"/>
    <s v="Yes"/>
    <n v="123947780"/>
    <x v="407"/>
    <x v="0"/>
    <n v="0"/>
  </r>
  <r>
    <n v="431"/>
    <x v="427"/>
    <n v="10"/>
    <x v="6"/>
    <x v="22"/>
    <n v="13900"/>
    <x v="300"/>
    <s v="No"/>
    <n v="123939840"/>
    <x v="408"/>
    <x v="0"/>
    <n v="0"/>
  </r>
  <r>
    <n v="432"/>
    <x v="428"/>
    <n v="10"/>
    <x v="6"/>
    <x v="25"/>
    <n v="12400"/>
    <x v="301"/>
    <s v="Yes"/>
    <n v="123307945"/>
    <x v="409"/>
    <x v="0"/>
    <n v="84000000"/>
  </r>
  <r>
    <n v="433"/>
    <x v="429"/>
    <n v="60"/>
    <x v="3"/>
    <x v="13"/>
    <n v="14350"/>
    <x v="12"/>
    <s v="No"/>
    <n v="123257581"/>
    <x v="410"/>
    <x v="0"/>
    <n v="135000000"/>
  </r>
  <r>
    <n v="434"/>
    <x v="430"/>
    <n v="10"/>
    <x v="6"/>
    <x v="3"/>
    <n v="17095"/>
    <x v="302"/>
    <s v="Yes"/>
    <n v="122523060"/>
    <x v="411"/>
    <x v="0"/>
    <n v="140000000"/>
  </r>
  <r>
    <n v="435"/>
    <x v="431"/>
    <n v="10"/>
    <x v="6"/>
    <x v="11"/>
    <n v="13225"/>
    <x v="303"/>
    <s v="No"/>
    <n v="121832939"/>
    <x v="412"/>
    <x v="0"/>
    <n v="62000000"/>
  </r>
  <r>
    <n v="436"/>
    <x v="432"/>
    <n v="50"/>
    <x v="1"/>
    <x v="41"/>
    <n v="17425"/>
    <x v="97"/>
    <s v="No"/>
    <n v="121650966"/>
    <x v="159"/>
    <x v="0"/>
    <n v="3900000"/>
  </r>
  <r>
    <n v="437"/>
    <x v="433"/>
    <n v="10"/>
    <x v="6"/>
    <x v="14"/>
    <n v="12850"/>
    <x v="304"/>
    <s v="No"/>
    <n v="121468960"/>
    <x v="413"/>
    <x v="0"/>
    <n v="60000000"/>
  </r>
  <r>
    <n v="438"/>
    <x v="434"/>
    <n v="10"/>
    <x v="6"/>
    <x v="19"/>
    <n v="14395"/>
    <x v="134"/>
    <s v="No"/>
    <n v="121463226"/>
    <x v="414"/>
    <x v="0"/>
    <n v="17500000"/>
  </r>
  <r>
    <n v="439"/>
    <x v="435"/>
    <n v="10"/>
    <x v="6"/>
    <x v="40"/>
    <n v="18175"/>
    <x v="305"/>
    <s v="No"/>
    <n v="120794325"/>
    <x v="415"/>
    <x v="0"/>
    <n v="0"/>
  </r>
  <r>
    <n v="440"/>
    <x v="436"/>
    <n v="10"/>
    <x v="6"/>
    <x v="7"/>
    <n v="15835"/>
    <x v="223"/>
    <s v="No"/>
    <n v="120776832"/>
    <x v="416"/>
    <x v="0"/>
    <n v="75000000"/>
  </r>
  <r>
    <n v="441"/>
    <x v="437"/>
    <n v="50"/>
    <x v="1"/>
    <x v="0"/>
    <n v="10930"/>
    <x v="120"/>
    <s v="No"/>
    <n v="120774594"/>
    <x v="417"/>
    <x v="0"/>
    <n v="70000000"/>
  </r>
  <r>
    <n v="442"/>
    <x v="438"/>
    <n v="20"/>
    <x v="5"/>
    <x v="31"/>
    <n v="16240"/>
    <x v="306"/>
    <s v="No"/>
    <n v="120618403"/>
    <x v="418"/>
    <x v="0"/>
    <n v="90000000"/>
  </r>
  <r>
    <n v="443"/>
    <x v="439"/>
    <n v="10"/>
    <x v="6"/>
    <x v="11"/>
    <n v="14755"/>
    <x v="51"/>
    <s v="No"/>
    <n v="120360822"/>
    <x v="419"/>
    <x v="0"/>
    <n v="30000000"/>
  </r>
  <r>
    <n v="444"/>
    <x v="440"/>
    <n v="50"/>
    <x v="1"/>
    <x v="16"/>
    <n v="18685"/>
    <x v="17"/>
    <s v="No"/>
    <n v="120197488"/>
    <x v="420"/>
    <x v="0"/>
    <n v="86000000"/>
  </r>
  <r>
    <n v="445"/>
    <x v="441"/>
    <n v="50"/>
    <x v="1"/>
    <x v="7"/>
    <n v="13270"/>
    <x v="83"/>
    <s v="No"/>
    <n v="120150546"/>
    <x v="421"/>
    <x v="0"/>
    <n v="170000000"/>
  </r>
  <r>
    <n v="446"/>
    <x v="442"/>
    <n v="10"/>
    <x v="6"/>
    <x v="4"/>
    <n v="14380"/>
    <x v="150"/>
    <s v="No"/>
    <n v="120146040"/>
    <x v="422"/>
    <x v="0"/>
    <n v="80000000"/>
  </r>
  <r>
    <n v="447"/>
    <x v="443"/>
    <n v="40"/>
    <x v="4"/>
    <x v="11"/>
    <n v="14155"/>
    <x v="147"/>
    <s v="No"/>
    <n v="119874149"/>
    <x v="423"/>
    <x v="0"/>
    <n v="18000000"/>
  </r>
  <r>
    <n v="448"/>
    <x v="444"/>
    <n v="60"/>
    <x v="3"/>
    <x v="9"/>
    <n v="10795"/>
    <x v="153"/>
    <s v="Yes"/>
    <n v="119793567"/>
    <x v="424"/>
    <x v="0"/>
    <n v="78000000"/>
  </r>
  <r>
    <n v="449"/>
    <x v="445"/>
    <n v="10"/>
    <x v="6"/>
    <x v="19"/>
    <n v="17245"/>
    <x v="307"/>
    <s v="No"/>
    <n v="119725280"/>
    <x v="425"/>
    <x v="0"/>
    <n v="85000000"/>
  </r>
  <r>
    <n v="450"/>
    <x v="446"/>
    <n v="20"/>
    <x v="5"/>
    <x v="17"/>
    <n v="17110"/>
    <x v="130"/>
    <s v="No"/>
    <n v="119519402"/>
    <x v="426"/>
    <x v="0"/>
    <n v="29000000"/>
  </r>
  <r>
    <n v="451"/>
    <x v="447"/>
    <n v="50"/>
    <x v="1"/>
    <x v="46"/>
    <n v="13165"/>
    <x v="308"/>
    <s v="No"/>
    <n v="119500000"/>
    <x v="427"/>
    <x v="0"/>
    <n v="61000000"/>
  </r>
  <r>
    <n v="452"/>
    <x v="448"/>
    <n v="60"/>
    <x v="3"/>
    <x v="0"/>
    <n v="19270"/>
    <x v="67"/>
    <s v="No"/>
    <n v="119436770"/>
    <x v="428"/>
    <x v="0"/>
    <n v="80000000"/>
  </r>
  <r>
    <n v="453"/>
    <x v="449"/>
    <n v="10"/>
    <x v="6"/>
    <x v="33"/>
    <n v="16180"/>
    <x v="9"/>
    <s v="No"/>
    <n v="119352584"/>
    <x v="429"/>
    <x v="0"/>
    <n v="20000000"/>
  </r>
  <r>
    <n v="454"/>
    <x v="450"/>
    <n v="10"/>
    <x v="6"/>
    <x v="8"/>
    <n v="18385"/>
    <x v="213"/>
    <s v="Yes"/>
    <n v="119350720"/>
    <x v="430"/>
    <x v="0"/>
    <n v="24000000"/>
  </r>
  <r>
    <n v="455"/>
    <x v="451"/>
    <n v="10"/>
    <x v="6"/>
    <x v="12"/>
    <n v="12355"/>
    <x v="200"/>
    <s v="No"/>
    <n v="119219978"/>
    <x v="431"/>
    <x v="0"/>
    <n v="100000000"/>
  </r>
  <r>
    <n v="456"/>
    <x v="452"/>
    <n v="30"/>
    <x v="7"/>
    <x v="7"/>
    <n v="10000"/>
    <x v="141"/>
    <s v="No"/>
    <n v="119114517"/>
    <x v="432"/>
    <x v="0"/>
    <n v="6000000"/>
  </r>
  <r>
    <n v="457"/>
    <x v="453"/>
    <n v="50"/>
    <x v="1"/>
    <x v="19"/>
    <n v="17185"/>
    <x v="309"/>
    <s v="No"/>
    <n v="118871849"/>
    <x v="433"/>
    <x v="0"/>
    <n v="75000000"/>
  </r>
  <r>
    <n v="458"/>
    <x v="454"/>
    <n v="10"/>
    <x v="6"/>
    <x v="28"/>
    <n v="13750"/>
    <x v="310"/>
    <s v="No"/>
    <n v="118710777"/>
    <x v="434"/>
    <x v="0"/>
    <n v="70000000"/>
  </r>
  <r>
    <n v="459"/>
    <x v="455"/>
    <n v="10"/>
    <x v="6"/>
    <x v="10"/>
    <n v="14515"/>
    <x v="311"/>
    <s v="No"/>
    <n v="118703275"/>
    <x v="435"/>
    <x v="0"/>
    <n v="52000000"/>
  </r>
  <r>
    <n v="460"/>
    <x v="456"/>
    <n v="60"/>
    <x v="3"/>
    <x v="7"/>
    <n v="14155"/>
    <x v="147"/>
    <s v="No"/>
    <n v="118627117"/>
    <x v="436"/>
    <x v="0"/>
    <n v="100000000"/>
  </r>
  <r>
    <n v="461"/>
    <x v="457"/>
    <n v="10"/>
    <x v="6"/>
    <x v="14"/>
    <n v="10630"/>
    <x v="129"/>
    <s v="No"/>
    <n v="118471320"/>
    <x v="437"/>
    <x v="0"/>
    <n v="68000000"/>
  </r>
  <r>
    <n v="462"/>
    <x v="458"/>
    <n v="10"/>
    <x v="6"/>
    <x v="12"/>
    <n v="10330"/>
    <x v="78"/>
    <s v="No"/>
    <n v="118311368"/>
    <x v="438"/>
    <x v="0"/>
    <n v="130000000"/>
  </r>
  <r>
    <n v="463"/>
    <x v="459"/>
    <n v="10"/>
    <x v="6"/>
    <x v="19"/>
    <n v="17215"/>
    <x v="312"/>
    <s v="No"/>
    <n v="118245842"/>
    <x v="427"/>
    <x v="0"/>
    <n v="61000000"/>
  </r>
  <r>
    <n v="464"/>
    <x v="460"/>
    <n v="10"/>
    <x v="6"/>
    <x v="9"/>
    <n v="13345"/>
    <x v="313"/>
    <s v="No"/>
    <n v="117723989"/>
    <x v="439"/>
    <x v="0"/>
    <n v="75000000"/>
  </r>
  <r>
    <n v="465"/>
    <x v="461"/>
    <n v="10"/>
    <x v="6"/>
    <x v="25"/>
    <n v="11260"/>
    <x v="314"/>
    <s v="No"/>
    <n v="117559438"/>
    <x v="440"/>
    <x v="0"/>
    <n v="33000000"/>
  </r>
  <r>
    <n v="466"/>
    <x v="462"/>
    <n v="10"/>
    <x v="6"/>
    <x v="12"/>
    <n v="13795"/>
    <x v="315"/>
    <s v="No"/>
    <n v="117538559"/>
    <x v="441"/>
    <x v="0"/>
    <n v="35000000"/>
  </r>
  <r>
    <n v="467"/>
    <x v="463"/>
    <n v="10"/>
    <x v="6"/>
    <x v="24"/>
    <n v="14800"/>
    <x v="316"/>
    <s v="No"/>
    <n v="117323878"/>
    <x v="442"/>
    <x v="0"/>
    <n v="70000000"/>
  </r>
  <r>
    <n v="468"/>
    <x v="464"/>
    <n v="10"/>
    <x v="6"/>
    <x v="47"/>
    <n v="18385"/>
    <x v="213"/>
    <s v="No"/>
    <n v="117235147"/>
    <x v="443"/>
    <x v="1"/>
    <n v="1000000"/>
  </r>
  <r>
    <n v="469"/>
    <x v="465"/>
    <n v="30"/>
    <x v="7"/>
    <x v="12"/>
    <n v="14365"/>
    <x v="317"/>
    <s v="Yes"/>
    <n v="117229692"/>
    <x v="444"/>
    <x v="0"/>
    <n v="20000000"/>
  </r>
  <r>
    <n v="470"/>
    <x v="466"/>
    <n v="10"/>
    <x v="6"/>
    <x v="19"/>
    <n v="12925"/>
    <x v="55"/>
    <s v="Yes"/>
    <n v="117144465"/>
    <x v="445"/>
    <x v="0"/>
    <n v="85000000"/>
  </r>
  <r>
    <n v="471"/>
    <x v="467"/>
    <n v="20"/>
    <x v="5"/>
    <x v="13"/>
    <n v="15205"/>
    <x v="1"/>
    <s v="No"/>
    <n v="116900694"/>
    <x v="446"/>
    <x v="0"/>
    <n v="100000000"/>
  </r>
  <r>
    <n v="472"/>
    <x v="468"/>
    <n v="10"/>
    <x v="6"/>
    <x v="16"/>
    <n v="17755"/>
    <x v="318"/>
    <s v="No"/>
    <n v="116877597"/>
    <x v="447"/>
    <x v="0"/>
    <n v="70000000"/>
  </r>
  <r>
    <n v="473"/>
    <x v="469"/>
    <n v="10"/>
    <x v="6"/>
    <x v="15"/>
    <n v="17545"/>
    <x v="319"/>
    <s v="No"/>
    <n v="116856908"/>
    <x v="448"/>
    <x v="0"/>
    <n v="0"/>
  </r>
  <r>
    <n v="474"/>
    <x v="470"/>
    <n v="10"/>
    <x v="6"/>
    <x v="5"/>
    <n v="11950"/>
    <x v="320"/>
    <s v="No"/>
    <n v="116735231"/>
    <x v="449"/>
    <x v="0"/>
    <n v="40000000"/>
  </r>
  <r>
    <n v="475"/>
    <x v="471"/>
    <n v="10"/>
    <x v="6"/>
    <x v="14"/>
    <n v="16105"/>
    <x v="247"/>
    <s v="No"/>
    <n v="116724075"/>
    <x v="450"/>
    <x v="0"/>
    <n v="41000000"/>
  </r>
  <r>
    <n v="476"/>
    <x v="472"/>
    <n v="20"/>
    <x v="5"/>
    <x v="13"/>
    <n v="12685"/>
    <x v="321"/>
    <s v="No"/>
    <n v="116632095"/>
    <x v="451"/>
    <x v="0"/>
    <n v="30000000"/>
  </r>
  <r>
    <n v="477"/>
    <x v="473"/>
    <n v="90"/>
    <x v="2"/>
    <x v="13"/>
    <n v="18610"/>
    <x v="322"/>
    <s v="No"/>
    <n v="116601172"/>
    <x v="452"/>
    <x v="0"/>
    <n v="200000000"/>
  </r>
  <r>
    <n v="478"/>
    <x v="474"/>
    <n v="10"/>
    <x v="6"/>
    <x v="5"/>
    <n v="14530"/>
    <x v="210"/>
    <s v="No"/>
    <n v="116089678"/>
    <x v="453"/>
    <x v="0"/>
    <n v="42000000"/>
  </r>
  <r>
    <n v="479"/>
    <x v="475"/>
    <n v="10"/>
    <x v="6"/>
    <x v="30"/>
    <n v="17290"/>
    <x v="323"/>
    <s v="No"/>
    <n v="116014390"/>
    <x v="454"/>
    <x v="0"/>
    <n v="55000000"/>
  </r>
  <r>
    <n v="480"/>
    <x v="476"/>
    <n v="10"/>
    <x v="6"/>
    <x v="46"/>
    <n v="16780"/>
    <x v="197"/>
    <s v="No"/>
    <n v="116000000"/>
    <x v="455"/>
    <x v="0"/>
    <n v="14000000"/>
  </r>
  <r>
    <n v="481"/>
    <x v="477"/>
    <n v="10"/>
    <x v="6"/>
    <x v="33"/>
    <n v="16270"/>
    <x v="324"/>
    <s v="No"/>
    <n v="115881197"/>
    <x v="456"/>
    <x v="0"/>
    <n v="0"/>
  </r>
  <r>
    <n v="482"/>
    <x v="478"/>
    <n v="90"/>
    <x v="2"/>
    <x v="19"/>
    <n v="16465"/>
    <x v="94"/>
    <s v="No"/>
    <n v="115802596"/>
    <x v="457"/>
    <x v="0"/>
    <n v="120000000"/>
  </r>
  <r>
    <n v="483"/>
    <x v="479"/>
    <n v="10"/>
    <x v="6"/>
    <x v="31"/>
    <n v="18760"/>
    <x v="71"/>
    <s v="No"/>
    <n v="115731542"/>
    <x v="458"/>
    <x v="0"/>
    <n v="65000000"/>
  </r>
  <r>
    <n v="484"/>
    <x v="480"/>
    <n v="10"/>
    <x v="6"/>
    <x v="25"/>
    <n v="12115"/>
    <x v="290"/>
    <s v="No"/>
    <n v="115654751"/>
    <x v="459"/>
    <x v="0"/>
    <n v="30000000"/>
  </r>
  <r>
    <n v="485"/>
    <x v="481"/>
    <n v="80"/>
    <x v="0"/>
    <x v="0"/>
    <n v="15445"/>
    <x v="325"/>
    <s v="No"/>
    <n v="115646235"/>
    <x v="460"/>
    <x v="0"/>
    <n v="30000000"/>
  </r>
  <r>
    <n v="486"/>
    <x v="482"/>
    <n v="20"/>
    <x v="5"/>
    <x v="18"/>
    <n v="13465"/>
    <x v="326"/>
    <s v="No"/>
    <n v="115637895"/>
    <x v="461"/>
    <x v="0"/>
    <n v="65000000"/>
  </r>
  <r>
    <n v="487"/>
    <x v="483"/>
    <n v="10"/>
    <x v="6"/>
    <x v="34"/>
    <n v="16735"/>
    <x v="327"/>
    <s v="No"/>
    <n v="115000000"/>
    <x v="462"/>
    <x v="0"/>
    <n v="777000"/>
  </r>
  <r>
    <n v="488"/>
    <x v="484"/>
    <n v="10"/>
    <x v="6"/>
    <x v="7"/>
    <n v="14260"/>
    <x v="328"/>
    <s v="No"/>
    <n v="114326736"/>
    <x v="463"/>
    <x v="0"/>
    <n v="30000000"/>
  </r>
  <r>
    <n v="489"/>
    <x v="485"/>
    <n v="10"/>
    <x v="6"/>
    <x v="7"/>
    <n v="14200"/>
    <x v="329"/>
    <s v="No"/>
    <n v="114197520"/>
    <x v="464"/>
    <x v="0"/>
    <n v="71682975"/>
  </r>
  <r>
    <n v="490"/>
    <x v="486"/>
    <n v="60"/>
    <x v="3"/>
    <x v="4"/>
    <n v="18370"/>
    <x v="330"/>
    <s v="No"/>
    <n v="114053759"/>
    <x v="465"/>
    <x v="0"/>
    <n v="150000000"/>
  </r>
  <r>
    <n v="491"/>
    <x v="487"/>
    <n v="50"/>
    <x v="1"/>
    <x v="5"/>
    <n v="19165"/>
    <x v="192"/>
    <s v="No"/>
    <n v="113805681"/>
    <x v="466"/>
    <x v="0"/>
    <n v="175000000"/>
  </r>
  <r>
    <n v="492"/>
    <x v="488"/>
    <n v="40"/>
    <x v="4"/>
    <x v="18"/>
    <n v="10660"/>
    <x v="52"/>
    <s v="Yes"/>
    <n v="113746621"/>
    <x v="467"/>
    <x v="0"/>
    <n v="127000000"/>
  </r>
  <r>
    <n v="493"/>
    <x v="489"/>
    <n v="10"/>
    <x v="6"/>
    <x v="3"/>
    <n v="11290"/>
    <x v="331"/>
    <s v="No"/>
    <n v="113721571"/>
    <x v="468"/>
    <x v="0"/>
    <n v="7000000"/>
  </r>
  <r>
    <n v="494"/>
    <x v="490"/>
    <n v="40"/>
    <x v="4"/>
    <x v="30"/>
    <n v="10600"/>
    <x v="332"/>
    <s v="No"/>
    <n v="113502246"/>
    <x v="75"/>
    <x v="0"/>
    <n v="110000000"/>
  </r>
  <r>
    <n v="495"/>
    <x v="491"/>
    <n v="50"/>
    <x v="1"/>
    <x v="24"/>
    <n v="18640"/>
    <x v="165"/>
    <s v="No"/>
    <n v="113485385"/>
    <x v="469"/>
    <x v="0"/>
    <n v="30000000"/>
  </r>
  <r>
    <n v="496"/>
    <x v="492"/>
    <n v="50"/>
    <x v="1"/>
    <x v="25"/>
    <n v="15865"/>
    <x v="88"/>
    <s v="No"/>
    <n v="113330342"/>
    <x v="470"/>
    <x v="0"/>
    <n v="110000000"/>
  </r>
  <r>
    <n v="497"/>
    <x v="493"/>
    <n v="40"/>
    <x v="4"/>
    <x v="40"/>
    <n v="12070"/>
    <x v="333"/>
    <s v="No"/>
    <n v="113327971"/>
    <x v="471"/>
    <x v="0"/>
    <n v="18000000"/>
  </r>
  <r>
    <n v="498"/>
    <x v="494"/>
    <n v="10"/>
    <x v="6"/>
    <x v="13"/>
    <n v="14065"/>
    <x v="334"/>
    <s v="Yes"/>
    <n v="113203870"/>
    <x v="472"/>
    <x v="0"/>
    <n v="125000000"/>
  </r>
  <r>
    <n v="499"/>
    <x v="495"/>
    <n v="10"/>
    <x v="6"/>
    <x v="17"/>
    <n v="11395"/>
    <x v="335"/>
    <s v="No"/>
    <n v="113006880"/>
    <x v="473"/>
    <x v="0"/>
    <n v="56000000"/>
  </r>
  <r>
    <n v="500"/>
    <x v="496"/>
    <n v="60"/>
    <x v="3"/>
    <x v="20"/>
    <n v="11980"/>
    <x v="336"/>
    <s v="Yes"/>
    <n v="112950721"/>
    <x v="474"/>
    <x v="0"/>
    <n v="72000000"/>
  </r>
  <r>
    <n v="501"/>
    <x v="497"/>
    <n v="10"/>
    <x v="6"/>
    <x v="0"/>
    <n v="16555"/>
    <x v="337"/>
    <s v="No"/>
    <n v="112735375"/>
    <x v="475"/>
    <x v="0"/>
    <n v="85000000"/>
  </r>
  <r>
    <n v="502"/>
    <x v="498"/>
    <n v="60"/>
    <x v="3"/>
    <x v="20"/>
    <n v="10495"/>
    <x v="217"/>
    <s v="No"/>
    <n v="112692062"/>
    <x v="473"/>
    <x v="0"/>
    <n v="35000000"/>
  </r>
  <r>
    <n v="503"/>
    <x v="499"/>
    <n v="10"/>
    <x v="6"/>
    <x v="1"/>
    <n v="11245"/>
    <x v="338"/>
    <s v="No"/>
    <n v="112273211"/>
    <x v="476"/>
    <x v="0"/>
    <n v="80000000"/>
  </r>
  <r>
    <n v="504"/>
    <x v="500"/>
    <n v="10"/>
    <x v="6"/>
    <x v="9"/>
    <n v="10945"/>
    <x v="29"/>
    <s v="Yes"/>
    <n v="112200072"/>
    <x v="477"/>
    <x v="0"/>
    <n v="103000000"/>
  </r>
  <r>
    <n v="505"/>
    <x v="501"/>
    <n v="10"/>
    <x v="6"/>
    <x v="40"/>
    <n v="11875"/>
    <x v="105"/>
    <s v="No"/>
    <n v="111936388"/>
    <x v="478"/>
    <x v="0"/>
    <n v="15000000"/>
  </r>
  <r>
    <n v="506"/>
    <x v="502"/>
    <n v="60"/>
    <x v="3"/>
    <x v="16"/>
    <n v="11905"/>
    <x v="339"/>
    <s v="Yes"/>
    <n v="111760631"/>
    <x v="479"/>
    <x v="0"/>
    <n v="40000000"/>
  </r>
  <r>
    <n v="507"/>
    <x v="503"/>
    <n v="50"/>
    <x v="1"/>
    <x v="42"/>
    <n v="18730"/>
    <x v="340"/>
    <s v="No"/>
    <n v="111721000"/>
    <x v="133"/>
    <x v="0"/>
    <n v="67500000"/>
  </r>
  <r>
    <n v="508"/>
    <x v="504"/>
    <n v="10"/>
    <x v="6"/>
    <x v="33"/>
    <n v="16210"/>
    <x v="341"/>
    <s v="No"/>
    <n v="111634286"/>
    <x v="480"/>
    <x v="0"/>
    <n v="25000000"/>
  </r>
  <r>
    <n v="509"/>
    <x v="505"/>
    <n v="10"/>
    <x v="6"/>
    <x v="31"/>
    <n v="13360"/>
    <x v="176"/>
    <s v="No"/>
    <n v="111544445"/>
    <x v="481"/>
    <x v="0"/>
    <n v="85000000"/>
  </r>
  <r>
    <n v="510"/>
    <x v="506"/>
    <n v="60"/>
    <x v="3"/>
    <x v="9"/>
    <n v="18955"/>
    <x v="342"/>
    <s v="No"/>
    <n v="111506430"/>
    <x v="482"/>
    <x v="0"/>
    <n v="145000000"/>
  </r>
  <r>
    <n v="511"/>
    <x v="507"/>
    <n v="50"/>
    <x v="1"/>
    <x v="16"/>
    <n v="18070"/>
    <x v="343"/>
    <s v="No"/>
    <n v="111110575"/>
    <x v="483"/>
    <x v="0"/>
    <n v="140000000"/>
  </r>
  <r>
    <n v="512"/>
    <x v="508"/>
    <n v="10"/>
    <x v="6"/>
    <x v="2"/>
    <n v="15895"/>
    <x v="344"/>
    <s v="No"/>
    <n v="110825712"/>
    <x v="484"/>
    <x v="0"/>
    <n v="65000000"/>
  </r>
  <r>
    <n v="513"/>
    <x v="509"/>
    <n v="10"/>
    <x v="6"/>
    <x v="39"/>
    <n v="17050"/>
    <x v="345"/>
    <s v="Yes"/>
    <n v="110722495"/>
    <x v="205"/>
    <x v="0"/>
    <n v="40000000"/>
  </r>
  <r>
    <n v="514"/>
    <x v="510"/>
    <n v="10"/>
    <x v="6"/>
    <x v="17"/>
    <n v="11170"/>
    <x v="346"/>
    <s v="No"/>
    <n v="110550000"/>
    <x v="485"/>
    <x v="0"/>
    <n v="140000000"/>
  </r>
  <r>
    <n v="515"/>
    <x v="511"/>
    <n v="10"/>
    <x v="6"/>
    <x v="0"/>
    <n v="12955"/>
    <x v="347"/>
    <s v="No"/>
    <n v="110485654"/>
    <x v="486"/>
    <x v="0"/>
    <n v="52000000"/>
  </r>
  <r>
    <n v="516"/>
    <x v="512"/>
    <n v="10"/>
    <x v="6"/>
    <x v="4"/>
    <n v="10660"/>
    <x v="52"/>
    <s v="No"/>
    <n v="110461307"/>
    <x v="487"/>
    <x v="0"/>
    <n v="90000000"/>
  </r>
  <r>
    <n v="517"/>
    <x v="513"/>
    <n v="10"/>
    <x v="6"/>
    <x v="16"/>
    <n v="15475"/>
    <x v="348"/>
    <s v="No"/>
    <n v="110222438"/>
    <x v="488"/>
    <x v="0"/>
    <n v="26000000"/>
  </r>
  <r>
    <n v="518"/>
    <x v="514"/>
    <n v="40"/>
    <x v="4"/>
    <x v="7"/>
    <n v="13015"/>
    <x v="349"/>
    <s v="No"/>
    <n v="110175871"/>
    <x v="489"/>
    <x v="0"/>
    <n v="10000000"/>
  </r>
  <r>
    <n v="519"/>
    <x v="515"/>
    <n v="40"/>
    <x v="4"/>
    <x v="4"/>
    <n v="18550"/>
    <x v="350"/>
    <s v="No"/>
    <n v="110101975"/>
    <x v="490"/>
    <x v="0"/>
    <n v="80000000"/>
  </r>
  <r>
    <n v="520"/>
    <x v="516"/>
    <n v="10"/>
    <x v="6"/>
    <x v="2"/>
    <n v="17350"/>
    <x v="351"/>
    <s v="No"/>
    <n v="110038130"/>
    <x v="491"/>
    <x v="0"/>
    <n v="35000000"/>
  </r>
  <r>
    <n v="521"/>
    <x v="517"/>
    <n v="80"/>
    <x v="0"/>
    <x v="27"/>
    <n v="11770"/>
    <x v="75"/>
    <s v="Yes"/>
    <n v="110000794"/>
    <x v="492"/>
    <x v="0"/>
    <n v="0"/>
  </r>
  <r>
    <n v="522"/>
    <x v="518"/>
    <n v="10"/>
    <x v="6"/>
    <x v="16"/>
    <n v="10375"/>
    <x v="352"/>
    <s v="Yes"/>
    <n v="110000082"/>
    <x v="493"/>
    <x v="0"/>
    <n v="45000000"/>
  </r>
  <r>
    <n v="523"/>
    <x v="519"/>
    <n v="60"/>
    <x v="3"/>
    <x v="30"/>
    <n v="11185"/>
    <x v="353"/>
    <s v="No"/>
    <n v="109921554"/>
    <x v="494"/>
    <x v="0"/>
    <n v="70000000"/>
  </r>
  <r>
    <n v="524"/>
    <x v="520"/>
    <n v="60"/>
    <x v="3"/>
    <x v="27"/>
    <n v="15550"/>
    <x v="354"/>
    <s v="No"/>
    <n v="109859444"/>
    <x v="495"/>
    <x v="0"/>
    <n v="0"/>
  </r>
  <r>
    <n v="525"/>
    <x v="521"/>
    <n v="10"/>
    <x v="6"/>
    <x v="40"/>
    <n v="18190"/>
    <x v="133"/>
    <s v="Yes"/>
    <n v="109306210"/>
    <x v="496"/>
    <x v="0"/>
    <n v="14000000"/>
  </r>
  <r>
    <n v="526"/>
    <x v="522"/>
    <n v="10"/>
    <x v="6"/>
    <x v="17"/>
    <n v="14890"/>
    <x v="355"/>
    <s v="No"/>
    <n v="109243478"/>
    <x v="497"/>
    <x v="0"/>
    <n v="26000000"/>
  </r>
  <r>
    <n v="527"/>
    <x v="523"/>
    <n v="10"/>
    <x v="6"/>
    <x v="0"/>
    <n v="11620"/>
    <x v="356"/>
    <s v="No"/>
    <n v="109205660"/>
    <x v="498"/>
    <x v="0"/>
    <n v="60000000"/>
  </r>
  <r>
    <n v="528"/>
    <x v="524"/>
    <n v="80"/>
    <x v="0"/>
    <x v="27"/>
    <n v="11215"/>
    <x v="107"/>
    <s v="Yes"/>
    <n v="109116271"/>
    <x v="499"/>
    <x v="0"/>
    <n v="40000000"/>
  </r>
  <r>
    <n v="529"/>
    <x v="525"/>
    <n v="10"/>
    <x v="6"/>
    <x v="26"/>
    <n v="11485"/>
    <x v="357"/>
    <s v="No"/>
    <n v="108981275"/>
    <x v="434"/>
    <x v="1"/>
    <n v="70000000"/>
  </r>
  <r>
    <n v="530"/>
    <x v="526"/>
    <n v="10"/>
    <x v="6"/>
    <x v="22"/>
    <n v="17755"/>
    <x v="318"/>
    <s v="No"/>
    <n v="108706165"/>
    <x v="500"/>
    <x v="0"/>
    <n v="40000000"/>
  </r>
  <r>
    <n v="531"/>
    <x v="527"/>
    <n v="20"/>
    <x v="5"/>
    <x v="20"/>
    <n v="18955"/>
    <x v="342"/>
    <s v="No"/>
    <n v="108638745"/>
    <x v="501"/>
    <x v="0"/>
    <n v="95000000"/>
  </r>
  <r>
    <n v="532"/>
    <x v="528"/>
    <n v="80"/>
    <x v="0"/>
    <x v="24"/>
    <n v="17980"/>
    <x v="358"/>
    <s v="No"/>
    <n v="108580729"/>
    <x v="502"/>
    <x v="0"/>
    <n v="125000000"/>
  </r>
  <r>
    <n v="533"/>
    <x v="529"/>
    <n v="10"/>
    <x v="6"/>
    <x v="36"/>
    <n v="10030"/>
    <x v="359"/>
    <s v="Yes"/>
    <n v="108344348"/>
    <x v="503"/>
    <x v="0"/>
    <n v="30000000"/>
  </r>
  <r>
    <n v="534"/>
    <x v="530"/>
    <n v="10"/>
    <x v="6"/>
    <x v="20"/>
    <n v="14560"/>
    <x v="360"/>
    <s v="No"/>
    <n v="108244774"/>
    <x v="504"/>
    <x v="0"/>
    <n v="30000000"/>
  </r>
  <r>
    <n v="535"/>
    <x v="531"/>
    <n v="60"/>
    <x v="3"/>
    <x v="13"/>
    <n v="13645"/>
    <x v="361"/>
    <s v="No"/>
    <n v="108085305"/>
    <x v="505"/>
    <x v="0"/>
    <n v="63000000"/>
  </r>
  <r>
    <n v="536"/>
    <x v="532"/>
    <n v="40"/>
    <x v="4"/>
    <x v="0"/>
    <n v="15535"/>
    <x v="362"/>
    <s v="No"/>
    <n v="107918810"/>
    <x v="506"/>
    <x v="0"/>
    <n v="450000"/>
  </r>
  <r>
    <n v="537"/>
    <x v="533"/>
    <n v="10"/>
    <x v="6"/>
    <x v="11"/>
    <n v="18625"/>
    <x v="363"/>
    <s v="No"/>
    <n v="107886108"/>
    <x v="507"/>
    <x v="0"/>
    <n v="8000000"/>
  </r>
  <r>
    <n v="538"/>
    <x v="534"/>
    <n v="60"/>
    <x v="3"/>
    <x v="9"/>
    <n v="10735"/>
    <x v="364"/>
    <s v="No"/>
    <n v="107518682"/>
    <x v="508"/>
    <x v="0"/>
    <n v="100000000"/>
  </r>
  <r>
    <n v="539"/>
    <x v="535"/>
    <n v="90"/>
    <x v="2"/>
    <x v="0"/>
    <n v="15775"/>
    <x v="365"/>
    <s v="No"/>
    <n v="107509799"/>
    <x v="509"/>
    <x v="0"/>
    <n v="138000000"/>
  </r>
  <r>
    <n v="540"/>
    <x v="536"/>
    <n v="50"/>
    <x v="1"/>
    <x v="33"/>
    <n v="12280"/>
    <x v="366"/>
    <s v="No"/>
    <n v="107404544"/>
    <x v="510"/>
    <x v="0"/>
    <n v="40000000"/>
  </r>
  <r>
    <n v="541"/>
    <x v="537"/>
    <n v="90"/>
    <x v="2"/>
    <x v="1"/>
    <n v="14935"/>
    <x v="142"/>
    <s v="Yes"/>
    <n v="107308328"/>
    <x v="511"/>
    <x v="0"/>
    <n v="125000000"/>
  </r>
  <r>
    <n v="542"/>
    <x v="538"/>
    <n v="20"/>
    <x v="5"/>
    <x v="9"/>
    <n v="18760"/>
    <x v="71"/>
    <s v="No"/>
    <n v="107136417"/>
    <x v="512"/>
    <x v="0"/>
    <n v="55000000"/>
  </r>
  <r>
    <n v="543"/>
    <x v="539"/>
    <n v="80"/>
    <x v="0"/>
    <x v="39"/>
    <n v="19225"/>
    <x v="367"/>
    <s v="Yes"/>
    <n v="107109310"/>
    <x v="112"/>
    <x v="0"/>
    <n v="190000000"/>
  </r>
  <r>
    <n v="544"/>
    <x v="540"/>
    <n v="10"/>
    <x v="6"/>
    <x v="12"/>
    <n v="16390"/>
    <x v="115"/>
    <s v="No"/>
    <n v="106954678"/>
    <x v="513"/>
    <x v="0"/>
    <n v="13000000"/>
  </r>
  <r>
    <n v="545"/>
    <x v="541"/>
    <n v="10"/>
    <x v="6"/>
    <x v="5"/>
    <n v="18895"/>
    <x v="368"/>
    <s v="No"/>
    <n v="106823373"/>
    <x v="514"/>
    <x v="0"/>
    <n v="30000000"/>
  </r>
  <r>
    <n v="546"/>
    <x v="542"/>
    <n v="10"/>
    <x v="6"/>
    <x v="25"/>
    <n v="17770"/>
    <x v="186"/>
    <s v="No"/>
    <n v="106807667"/>
    <x v="515"/>
    <x v="0"/>
    <n v="45000000"/>
  </r>
  <r>
    <n v="547"/>
    <x v="543"/>
    <n v="60"/>
    <x v="3"/>
    <x v="25"/>
    <n v="10690"/>
    <x v="369"/>
    <s v="No"/>
    <n v="106793915"/>
    <x v="516"/>
    <x v="0"/>
    <n v="42000000"/>
  </r>
  <r>
    <n v="548"/>
    <x v="544"/>
    <n v="50"/>
    <x v="1"/>
    <x v="9"/>
    <n v="18325"/>
    <x v="370"/>
    <s v="Yes"/>
    <n v="106580051"/>
    <x v="517"/>
    <x v="0"/>
    <n v="110000000"/>
  </r>
  <r>
    <n v="549"/>
    <x v="545"/>
    <n v="10"/>
    <x v="6"/>
    <x v="48"/>
    <n v="18865"/>
    <x v="69"/>
    <s v="No"/>
    <n v="106397186"/>
    <x v="518"/>
    <x v="0"/>
    <n v="0"/>
  </r>
  <r>
    <n v="550"/>
    <x v="546"/>
    <n v="10"/>
    <x v="6"/>
    <x v="16"/>
    <n v="12295"/>
    <x v="371"/>
    <s v="No"/>
    <n v="106126012"/>
    <x v="519"/>
    <x v="0"/>
    <n v="60000000"/>
  </r>
  <r>
    <n v="551"/>
    <x v="547"/>
    <n v="10"/>
    <x v="6"/>
    <x v="36"/>
    <n v="16975"/>
    <x v="286"/>
    <s v="Yes"/>
    <n v="105978900"/>
    <x v="520"/>
    <x v="0"/>
    <n v="60000000"/>
  </r>
  <r>
    <n v="552"/>
    <x v="548"/>
    <n v="10"/>
    <x v="6"/>
    <x v="16"/>
    <n v="10615"/>
    <x v="372"/>
    <s v="No"/>
    <n v="105807520"/>
    <x v="521"/>
    <x v="0"/>
    <n v="50000000"/>
  </r>
  <r>
    <n v="553"/>
    <x v="549"/>
    <n v="10"/>
    <x v="6"/>
    <x v="22"/>
    <n v="16945"/>
    <x v="154"/>
    <s v="No"/>
    <n v="105444419"/>
    <x v="522"/>
    <x v="0"/>
    <n v="30000000"/>
  </r>
  <r>
    <n v="554"/>
    <x v="550"/>
    <n v="50"/>
    <x v="1"/>
    <x v="12"/>
    <n v="17605"/>
    <x v="138"/>
    <s v="No"/>
    <n v="105269730"/>
    <x v="523"/>
    <x v="0"/>
    <n v="210000000"/>
  </r>
  <r>
    <n v="555"/>
    <x v="551"/>
    <n v="10"/>
    <x v="6"/>
    <x v="21"/>
    <n v="11875"/>
    <x v="105"/>
    <s v="No"/>
    <n v="105237012"/>
    <x v="524"/>
    <x v="1"/>
    <n v="155000000"/>
  </r>
  <r>
    <n v="556"/>
    <x v="552"/>
    <n v="60"/>
    <x v="3"/>
    <x v="1"/>
    <n v="18130"/>
    <x v="373"/>
    <s v="No"/>
    <n v="105224566"/>
    <x v="525"/>
    <x v="0"/>
    <n v="55000000"/>
  </r>
  <r>
    <n v="557"/>
    <x v="553"/>
    <n v="40"/>
    <x v="4"/>
    <x v="11"/>
    <n v="10495"/>
    <x v="217"/>
    <s v="No"/>
    <n v="105163524"/>
    <x v="526"/>
    <x v="0"/>
    <n v="50000000"/>
  </r>
  <r>
    <n v="558"/>
    <x v="554"/>
    <n v="50"/>
    <x v="1"/>
    <x v="8"/>
    <n v="14920"/>
    <x v="374"/>
    <s v="No"/>
    <n v="105124546"/>
    <x v="527"/>
    <x v="0"/>
    <n v="30000000"/>
  </r>
  <r>
    <n v="559"/>
    <x v="555"/>
    <n v="10"/>
    <x v="6"/>
    <x v="22"/>
    <n v="14320"/>
    <x v="146"/>
    <s v="No"/>
    <n v="104632573"/>
    <x v="528"/>
    <x v="0"/>
    <n v="32000000"/>
  </r>
  <r>
    <n v="560"/>
    <x v="556"/>
    <n v="60"/>
    <x v="3"/>
    <x v="0"/>
    <n v="10345"/>
    <x v="375"/>
    <s v="No"/>
    <n v="104400899"/>
    <x v="529"/>
    <x v="0"/>
    <n v="105000000"/>
  </r>
  <r>
    <n v="561"/>
    <x v="557"/>
    <n v="10"/>
    <x v="6"/>
    <x v="44"/>
    <n v="12325"/>
    <x v="182"/>
    <s v="No"/>
    <n v="104397102"/>
    <x v="530"/>
    <x v="0"/>
    <n v="205000000"/>
  </r>
  <r>
    <n v="562"/>
    <x v="558"/>
    <n v="40"/>
    <x v="4"/>
    <x v="12"/>
    <n v="19150"/>
    <x v="214"/>
    <s v="Yes"/>
    <n v="104386950"/>
    <x v="531"/>
    <x v="0"/>
    <n v="155000000"/>
  </r>
  <r>
    <n v="563"/>
    <x v="559"/>
    <n v="10"/>
    <x v="6"/>
    <x v="16"/>
    <n v="15100"/>
    <x v="376"/>
    <s v="Yes"/>
    <n v="104354205"/>
    <x v="379"/>
    <x v="0"/>
    <n v="46000000"/>
  </r>
  <r>
    <n v="564"/>
    <x v="560"/>
    <n v="10"/>
    <x v="6"/>
    <x v="38"/>
    <n v="17620"/>
    <x v="377"/>
    <s v="No"/>
    <n v="104268727"/>
    <x v="532"/>
    <x v="0"/>
    <n v="0"/>
  </r>
  <r>
    <n v="565"/>
    <x v="561"/>
    <n v="10"/>
    <x v="6"/>
    <x v="16"/>
    <n v="12475"/>
    <x v="378"/>
    <s v="No"/>
    <n v="104148781"/>
    <x v="533"/>
    <x v="0"/>
    <n v="60000000"/>
  </r>
  <r>
    <n v="566"/>
    <x v="562"/>
    <n v="50"/>
    <x v="1"/>
    <x v="14"/>
    <n v="18760"/>
    <x v="71"/>
    <s v="No"/>
    <n v="104054514"/>
    <x v="534"/>
    <x v="0"/>
    <n v="80000000"/>
  </r>
  <r>
    <n v="567"/>
    <x v="563"/>
    <n v="40"/>
    <x v="4"/>
    <x v="13"/>
    <n v="12340"/>
    <x v="379"/>
    <s v="Yes"/>
    <n v="104028807"/>
    <x v="535"/>
    <x v="0"/>
    <n v="5000000"/>
  </r>
  <r>
    <n v="568"/>
    <x v="564"/>
    <n v="40"/>
    <x v="4"/>
    <x v="13"/>
    <n v="12355"/>
    <x v="200"/>
    <s v="Yes"/>
    <n v="103860290"/>
    <x v="536"/>
    <x v="0"/>
    <n v="79000000"/>
  </r>
  <r>
    <n v="569"/>
    <x v="565"/>
    <n v="60"/>
    <x v="3"/>
    <x v="3"/>
    <n v="11380"/>
    <x v="87"/>
    <s v="No"/>
    <n v="103412758"/>
    <x v="537"/>
    <x v="0"/>
    <n v="145000000"/>
  </r>
  <r>
    <n v="570"/>
    <x v="566"/>
    <n v="50"/>
    <x v="1"/>
    <x v="10"/>
    <n v="17965"/>
    <x v="380"/>
    <s v="No"/>
    <n v="103365956"/>
    <x v="538"/>
    <x v="0"/>
    <n v="75000000"/>
  </r>
  <r>
    <n v="571"/>
    <x v="567"/>
    <n v="10"/>
    <x v="6"/>
    <x v="12"/>
    <n v="18385"/>
    <x v="213"/>
    <s v="No"/>
    <n v="103068524"/>
    <x v="539"/>
    <x v="0"/>
    <n v="82000000"/>
  </r>
  <r>
    <n v="572"/>
    <x v="568"/>
    <n v="10"/>
    <x v="6"/>
    <x v="12"/>
    <n v="10015"/>
    <x v="180"/>
    <s v="No"/>
    <n v="103028109"/>
    <x v="540"/>
    <x v="0"/>
    <n v="80000000"/>
  </r>
  <r>
    <n v="573"/>
    <x v="569"/>
    <n v="10"/>
    <x v="6"/>
    <x v="22"/>
    <n v="11965"/>
    <x v="381"/>
    <s v="No"/>
    <n v="103001286"/>
    <x v="514"/>
    <x v="0"/>
    <n v="15000000"/>
  </r>
  <r>
    <n v="574"/>
    <x v="570"/>
    <n v="10"/>
    <x v="6"/>
    <x v="38"/>
    <n v="14770"/>
    <x v="382"/>
    <s v="Yes"/>
    <n v="102922376"/>
    <x v="541"/>
    <x v="0"/>
    <n v="20000000"/>
  </r>
  <r>
    <n v="575"/>
    <x v="571"/>
    <n v="60"/>
    <x v="3"/>
    <x v="49"/>
    <n v="10000"/>
    <x v="141"/>
    <s v="No"/>
    <n v="102797000"/>
    <x v="542"/>
    <x v="0"/>
    <n v="0"/>
  </r>
  <r>
    <n v="576"/>
    <x v="572"/>
    <n v="10"/>
    <x v="6"/>
    <x v="5"/>
    <n v="16915"/>
    <x v="383"/>
    <s v="No"/>
    <n v="102705852"/>
    <x v="543"/>
    <x v="0"/>
    <n v="60000000"/>
  </r>
  <r>
    <n v="577"/>
    <x v="573"/>
    <n v="50"/>
    <x v="1"/>
    <x v="27"/>
    <n v="16705"/>
    <x v="384"/>
    <s v="No"/>
    <n v="102647257"/>
    <x v="538"/>
    <x v="0"/>
    <n v="75000000"/>
  </r>
  <r>
    <n v="578"/>
    <x v="574"/>
    <n v="20"/>
    <x v="5"/>
    <x v="7"/>
    <n v="12700"/>
    <x v="385"/>
    <s v="No"/>
    <n v="102608827"/>
    <x v="544"/>
    <x v="0"/>
    <n v="110000000"/>
  </r>
  <r>
    <n v="579"/>
    <x v="575"/>
    <n v="90"/>
    <x v="2"/>
    <x v="16"/>
    <n v="15190"/>
    <x v="386"/>
    <s v="No"/>
    <n v="102543518"/>
    <x v="545"/>
    <x v="0"/>
    <n v="80000000"/>
  </r>
  <r>
    <n v="580"/>
    <x v="576"/>
    <n v="10"/>
    <x v="6"/>
    <x v="13"/>
    <n v="11830"/>
    <x v="37"/>
    <s v="No"/>
    <n v="102515793"/>
    <x v="546"/>
    <x v="0"/>
    <n v="90000000"/>
  </r>
  <r>
    <n v="581"/>
    <x v="577"/>
    <n v="80"/>
    <x v="0"/>
    <x v="18"/>
    <n v="12370"/>
    <x v="387"/>
    <s v="No"/>
    <n v="102427862"/>
    <x v="547"/>
    <x v="0"/>
    <n v="34000000"/>
  </r>
  <r>
    <n v="582"/>
    <x v="578"/>
    <n v="50"/>
    <x v="1"/>
    <x v="50"/>
    <n v="14830"/>
    <x v="388"/>
    <s v="No"/>
    <n v="102308900"/>
    <x v="548"/>
    <x v="0"/>
    <n v="37000000"/>
  </r>
  <r>
    <n v="583"/>
    <x v="579"/>
    <n v="40"/>
    <x v="4"/>
    <x v="51"/>
    <n v="14560"/>
    <x v="360"/>
    <s v="No"/>
    <n v="102300000"/>
    <x v="303"/>
    <x v="0"/>
    <n v="60000000"/>
  </r>
  <r>
    <n v="584"/>
    <x v="580"/>
    <n v="40"/>
    <x v="4"/>
    <x v="4"/>
    <n v="11035"/>
    <x v="121"/>
    <s v="Yes"/>
    <n v="102277510"/>
    <x v="549"/>
    <x v="0"/>
    <n v="175000000"/>
  </r>
  <r>
    <n v="585"/>
    <x v="581"/>
    <n v="30"/>
    <x v="7"/>
    <x v="9"/>
    <n v="14365"/>
    <x v="317"/>
    <s v="No"/>
    <n v="102003019"/>
    <x v="550"/>
    <x v="0"/>
    <n v="15000000"/>
  </r>
  <r>
    <n v="586"/>
    <x v="582"/>
    <n v="80"/>
    <x v="0"/>
    <x v="9"/>
    <n v="12220"/>
    <x v="389"/>
    <s v="No"/>
    <n v="101802906"/>
    <x v="551"/>
    <x v="0"/>
    <n v="190000000"/>
  </r>
  <r>
    <n v="587"/>
    <x v="583"/>
    <n v="10"/>
    <x v="6"/>
    <x v="5"/>
    <n v="11440"/>
    <x v="390"/>
    <s v="No"/>
    <n v="101800948"/>
    <x v="552"/>
    <x v="0"/>
    <n v="12000000"/>
  </r>
  <r>
    <n v="588"/>
    <x v="584"/>
    <n v="80"/>
    <x v="0"/>
    <x v="4"/>
    <n v="10360"/>
    <x v="391"/>
    <s v="No"/>
    <n v="101704370"/>
    <x v="553"/>
    <x v="0"/>
    <n v="45000000"/>
  </r>
  <r>
    <n v="589"/>
    <x v="585"/>
    <n v="10"/>
    <x v="6"/>
    <x v="25"/>
    <n v="16465"/>
    <x v="94"/>
    <s v="No"/>
    <n v="101643008"/>
    <x v="554"/>
    <x v="0"/>
    <n v="103300000"/>
  </r>
  <r>
    <n v="590"/>
    <x v="586"/>
    <n v="10"/>
    <x v="6"/>
    <x v="13"/>
    <n v="12115"/>
    <x v="290"/>
    <s v="No"/>
    <n v="101530738"/>
    <x v="555"/>
    <x v="0"/>
    <n v="55000000"/>
  </r>
  <r>
    <n v="591"/>
    <x v="587"/>
    <n v="80"/>
    <x v="0"/>
    <x v="9"/>
    <n v="13615"/>
    <x v="80"/>
    <s v="No"/>
    <n v="101470202"/>
    <x v="206"/>
    <x v="0"/>
    <n v="22000000"/>
  </r>
  <r>
    <n v="592"/>
    <x v="588"/>
    <n v="10"/>
    <x v="6"/>
    <x v="4"/>
    <n v="10465"/>
    <x v="392"/>
    <s v="No"/>
    <n v="101440743"/>
    <x v="556"/>
    <x v="0"/>
    <n v="80000000"/>
  </r>
  <r>
    <n v="593"/>
    <x v="589"/>
    <n v="90"/>
    <x v="2"/>
    <x v="28"/>
    <n v="18490"/>
    <x v="260"/>
    <s v="Yes"/>
    <n v="101347629"/>
    <x v="343"/>
    <x v="0"/>
    <n v="55000000"/>
  </r>
  <r>
    <n v="594"/>
    <x v="590"/>
    <n v="10"/>
    <x v="6"/>
    <x v="1"/>
    <n v="17815"/>
    <x v="393"/>
    <s v="Yes"/>
    <n v="101334374"/>
    <x v="514"/>
    <x v="0"/>
    <n v="15000000"/>
  </r>
  <r>
    <n v="595"/>
    <x v="591"/>
    <n v="10"/>
    <x v="6"/>
    <x v="23"/>
    <n v="11650"/>
    <x v="394"/>
    <s v="No"/>
    <n v="101300000"/>
    <x v="557"/>
    <x v="0"/>
    <n v="50000000"/>
  </r>
  <r>
    <n v="596"/>
    <x v="592"/>
    <n v="10"/>
    <x v="6"/>
    <x v="22"/>
    <n v="16090"/>
    <x v="268"/>
    <s v="No"/>
    <n v="101283031"/>
    <x v="558"/>
    <x v="0"/>
    <n v="100000000"/>
  </r>
  <r>
    <n v="597"/>
    <x v="593"/>
    <n v="10"/>
    <x v="6"/>
    <x v="15"/>
    <n v="17200"/>
    <x v="173"/>
    <s v="No"/>
    <n v="101268255"/>
    <x v="559"/>
    <x v="0"/>
    <n v="0"/>
  </r>
  <r>
    <n v="598"/>
    <x v="594"/>
    <n v="20"/>
    <x v="5"/>
    <x v="31"/>
    <n v="19000"/>
    <x v="395"/>
    <s v="No"/>
    <n v="101217900"/>
    <x v="560"/>
    <x v="0"/>
    <n v="60000000"/>
  </r>
  <r>
    <n v="599"/>
    <x v="595"/>
    <n v="50"/>
    <x v="1"/>
    <x v="18"/>
    <n v="17605"/>
    <x v="138"/>
    <s v="No"/>
    <n v="101200044"/>
    <x v="561"/>
    <x v="0"/>
    <n v="130000000"/>
  </r>
  <r>
    <n v="600"/>
    <x v="596"/>
    <n v="10"/>
    <x v="6"/>
    <x v="1"/>
    <n v="11155"/>
    <x v="396"/>
    <s v="No"/>
    <n v="101087161"/>
    <x v="244"/>
    <x v="0"/>
    <n v="80000000"/>
  </r>
  <r>
    <n v="601"/>
    <x v="597"/>
    <n v="50"/>
    <x v="1"/>
    <x v="5"/>
    <n v="14350"/>
    <x v="12"/>
    <s v="No"/>
    <n v="101068340"/>
    <x v="562"/>
    <x v="0"/>
    <n v="70000000"/>
  </r>
  <r>
    <n v="602"/>
    <x v="598"/>
    <n v="40"/>
    <x v="4"/>
    <x v="16"/>
    <n v="12745"/>
    <x v="32"/>
    <s v="No"/>
    <n v="101018283"/>
    <x v="563"/>
    <x v="0"/>
    <n v="109000000"/>
  </r>
  <r>
    <n v="603"/>
    <x v="599"/>
    <n v="50"/>
    <x v="1"/>
    <x v="11"/>
    <n v="11890"/>
    <x v="397"/>
    <s v="No"/>
    <n v="100919952"/>
    <x v="564"/>
    <x v="0"/>
    <n v="0"/>
  </r>
  <r>
    <n v="604"/>
    <x v="600"/>
    <n v="10"/>
    <x v="6"/>
    <x v="16"/>
    <n v="10900"/>
    <x v="398"/>
    <s v="Yes"/>
    <n v="100814328"/>
    <x v="565"/>
    <x v="0"/>
    <n v="120000000"/>
  </r>
  <r>
    <n v="605"/>
    <x v="601"/>
    <n v="80"/>
    <x v="0"/>
    <x v="1"/>
    <n v="17740"/>
    <x v="399"/>
    <s v="No"/>
    <n v="100769177"/>
    <x v="566"/>
    <x v="0"/>
    <n v="90000000"/>
  </r>
  <r>
    <n v="606"/>
    <x v="602"/>
    <n v="10"/>
    <x v="6"/>
    <x v="15"/>
    <n v="12115"/>
    <x v="290"/>
    <s v="No"/>
    <n v="100768056"/>
    <x v="567"/>
    <x v="0"/>
    <n v="45000000"/>
  </r>
  <r>
    <n v="607"/>
    <x v="603"/>
    <n v="10"/>
    <x v="6"/>
    <x v="20"/>
    <n v="18745"/>
    <x v="82"/>
    <s v="No"/>
    <n v="100614858"/>
    <x v="568"/>
    <x v="0"/>
    <n v="70000000"/>
  </r>
  <r>
    <n v="608"/>
    <x v="604"/>
    <n v="10"/>
    <x v="6"/>
    <x v="12"/>
    <n v="13735"/>
    <x v="191"/>
    <s v="No"/>
    <n v="100539043"/>
    <x v="569"/>
    <x v="0"/>
    <n v="65000000"/>
  </r>
  <r>
    <n v="609"/>
    <x v="605"/>
    <n v="60"/>
    <x v="3"/>
    <x v="31"/>
    <n v="14245"/>
    <x v="400"/>
    <s v="No"/>
    <n v="100491683"/>
    <x v="570"/>
    <x v="0"/>
    <n v="28000000"/>
  </r>
  <r>
    <n v="610"/>
    <x v="606"/>
    <n v="10"/>
    <x v="6"/>
    <x v="48"/>
    <n v="15505"/>
    <x v="401"/>
    <s v="No"/>
    <n v="100489150"/>
    <x v="214"/>
    <x v="0"/>
    <n v="85000000"/>
  </r>
  <r>
    <n v="611"/>
    <x v="607"/>
    <n v="10"/>
    <x v="6"/>
    <x v="4"/>
    <n v="19135"/>
    <x v="220"/>
    <s v="No"/>
    <n v="100468793"/>
    <x v="571"/>
    <x v="0"/>
    <n v="60000000"/>
  </r>
  <r>
    <n v="612"/>
    <x v="608"/>
    <n v="10"/>
    <x v="6"/>
    <x v="7"/>
    <n v="13240"/>
    <x v="402"/>
    <s v="No"/>
    <n v="100422786"/>
    <x v="572"/>
    <x v="1"/>
    <n v="30000000"/>
  </r>
  <r>
    <n v="613"/>
    <x v="609"/>
    <n v="10"/>
    <x v="6"/>
    <x v="23"/>
    <n v="13750"/>
    <x v="310"/>
    <s v="No"/>
    <n v="100409707"/>
    <x v="573"/>
    <x v="0"/>
    <n v="0"/>
  </r>
  <r>
    <n v="614"/>
    <x v="610"/>
    <n v="10"/>
    <x v="6"/>
    <x v="13"/>
    <n v="11140"/>
    <x v="403"/>
    <s v="No"/>
    <n v="100292856"/>
    <x v="574"/>
    <x v="0"/>
    <n v="19000000"/>
  </r>
  <r>
    <n v="615"/>
    <x v="611"/>
    <n v="40"/>
    <x v="4"/>
    <x v="19"/>
    <n v="13030"/>
    <x v="404"/>
    <s v="Yes"/>
    <n v="100289690"/>
    <x v="575"/>
    <x v="0"/>
    <n v="175000000"/>
  </r>
  <r>
    <n v="616"/>
    <x v="612"/>
    <n v="60"/>
    <x v="3"/>
    <x v="12"/>
    <n v="10375"/>
    <x v="352"/>
    <s v="No"/>
    <n v="100246011"/>
    <x v="576"/>
    <x v="0"/>
    <n v="80000000"/>
  </r>
  <r>
    <n v="617"/>
    <x v="613"/>
    <n v="50"/>
    <x v="1"/>
    <x v="31"/>
    <n v="14455"/>
    <x v="405"/>
    <s v="No"/>
    <n v="100241322"/>
    <x v="577"/>
    <x v="1"/>
    <n v="26000000"/>
  </r>
  <r>
    <n v="618"/>
    <x v="614"/>
    <n v="80"/>
    <x v="0"/>
    <x v="13"/>
    <n v="16585"/>
    <x v="406"/>
    <s v="No"/>
    <n v="100240551"/>
    <x v="578"/>
    <x v="0"/>
    <n v="163000000"/>
  </r>
  <r>
    <n v="619"/>
    <x v="615"/>
    <n v="40"/>
    <x v="4"/>
    <x v="36"/>
    <n v="16345"/>
    <x v="407"/>
    <s v="No"/>
    <n v="100237375"/>
    <x v="579"/>
    <x v="0"/>
    <n v="55000000"/>
  </r>
  <r>
    <n v="620"/>
    <x v="616"/>
    <n v="80"/>
    <x v="0"/>
    <x v="13"/>
    <n v="10840"/>
    <x v="76"/>
    <s v="No"/>
    <n v="100206256"/>
    <x v="580"/>
    <x v="0"/>
    <n v="178000000"/>
  </r>
  <r>
    <n v="621"/>
    <x v="617"/>
    <n v="10"/>
    <x v="6"/>
    <x v="7"/>
    <n v="13330"/>
    <x v="408"/>
    <s v="No"/>
    <n v="100170152"/>
    <x v="581"/>
    <x v="0"/>
    <n v="60000000"/>
  </r>
  <r>
    <n v="622"/>
    <x v="618"/>
    <n v="50"/>
    <x v="1"/>
    <x v="22"/>
    <n v="14695"/>
    <x v="409"/>
    <s v="No"/>
    <n v="100117603"/>
    <x v="582"/>
    <x v="0"/>
    <n v="100000000"/>
  </r>
  <r>
    <n v="623"/>
    <x v="619"/>
    <n v="40"/>
    <x v="4"/>
    <x v="36"/>
    <n v="10960"/>
    <x v="410"/>
    <s v="No"/>
    <n v="100109938"/>
    <x v="583"/>
    <x v="0"/>
    <n v="65000000"/>
  </r>
  <r>
    <n v="624"/>
    <x v="620"/>
    <n v="10"/>
    <x v="6"/>
    <x v="36"/>
    <n v="14575"/>
    <x v="411"/>
    <s v="No"/>
    <n v="100058010"/>
    <x v="584"/>
    <x v="0"/>
    <n v="30000000"/>
  </r>
  <r>
    <n v="625"/>
    <x v="621"/>
    <n v="10"/>
    <x v="6"/>
    <x v="4"/>
    <n v="10015"/>
    <x v="180"/>
    <s v="No"/>
    <n v="100018837"/>
    <x v="585"/>
    <x v="0"/>
    <n v="90000000"/>
  </r>
  <r>
    <n v="626"/>
    <x v="622"/>
    <n v="10"/>
    <x v="6"/>
    <x v="15"/>
    <n v="11155"/>
    <x v="396"/>
    <s v="No"/>
    <n v="100013224"/>
    <x v="586"/>
    <x v="0"/>
    <n v="0"/>
  </r>
  <r>
    <n v="627"/>
    <x v="623"/>
    <n v="10"/>
    <x v="6"/>
    <x v="36"/>
    <n v="15070"/>
    <x v="412"/>
    <s v="Yes"/>
    <n v="99983259"/>
    <x v="587"/>
    <x v="0"/>
    <n v="90000000"/>
  </r>
  <r>
    <n v="628"/>
    <x v="624"/>
    <n v="40"/>
    <x v="4"/>
    <x v="12"/>
    <n v="13675"/>
    <x v="224"/>
    <s v="No"/>
    <n v="99967670"/>
    <x v="588"/>
    <x v="0"/>
    <n v="36000000"/>
  </r>
  <r>
    <n v="629"/>
    <x v="625"/>
    <n v="50"/>
    <x v="1"/>
    <x v="33"/>
    <n v="11605"/>
    <x v="222"/>
    <s v="No"/>
    <n v="99162710"/>
    <x v="589"/>
    <x v="1"/>
    <n v="14400000"/>
  </r>
  <r>
    <n v="630"/>
    <x v="626"/>
    <n v="90"/>
    <x v="2"/>
    <x v="24"/>
    <n v="17290"/>
    <x v="323"/>
    <s v="No"/>
    <n v="99098477"/>
    <x v="590"/>
    <x v="0"/>
    <n v="47000000"/>
  </r>
  <r>
    <n v="631"/>
    <x v="627"/>
    <n v="50"/>
    <x v="1"/>
    <x v="1"/>
    <n v="12055"/>
    <x v="110"/>
    <s v="No"/>
    <n v="99046791"/>
    <x v="591"/>
    <x v="0"/>
    <n v="100000000"/>
  </r>
  <r>
    <n v="632"/>
    <x v="628"/>
    <n v="10"/>
    <x v="6"/>
    <x v="52"/>
    <n v="14215"/>
    <x v="413"/>
    <s v="No"/>
    <n v="98982763"/>
    <x v="592"/>
    <x v="1"/>
    <n v="50000000"/>
  </r>
  <r>
    <n v="633"/>
    <x v="629"/>
    <n v="10"/>
    <x v="6"/>
    <x v="9"/>
    <n v="12985"/>
    <x v="414"/>
    <s v="No"/>
    <n v="98927592"/>
    <x v="434"/>
    <x v="0"/>
    <n v="70000000"/>
  </r>
  <r>
    <n v="634"/>
    <x v="630"/>
    <n v="40"/>
    <x v="4"/>
    <x v="38"/>
    <n v="11110"/>
    <x v="415"/>
    <s v="No"/>
    <n v="98800000"/>
    <x v="454"/>
    <x v="0"/>
    <n v="0"/>
  </r>
  <r>
    <n v="635"/>
    <x v="631"/>
    <n v="90"/>
    <x v="2"/>
    <x v="12"/>
    <n v="18820"/>
    <x v="416"/>
    <s v="No"/>
    <n v="98780042"/>
    <x v="593"/>
    <x v="0"/>
    <n v="110000000"/>
  </r>
  <r>
    <n v="636"/>
    <x v="632"/>
    <n v="10"/>
    <x v="6"/>
    <x v="12"/>
    <n v="15160"/>
    <x v="417"/>
    <s v="No"/>
    <n v="98711404"/>
    <x v="594"/>
    <x v="0"/>
    <n v="55000000"/>
  </r>
  <r>
    <n v="637"/>
    <x v="633"/>
    <n v="10"/>
    <x v="6"/>
    <x v="30"/>
    <n v="14530"/>
    <x v="210"/>
    <s v="No"/>
    <n v="98605973"/>
    <x v="595"/>
    <x v="0"/>
    <n v="0"/>
  </r>
  <r>
    <n v="638"/>
    <x v="634"/>
    <n v="10"/>
    <x v="6"/>
    <x v="53"/>
    <n v="18805"/>
    <x v="418"/>
    <s v="No"/>
    <n v="98000000"/>
    <x v="596"/>
    <x v="0"/>
    <n v="40000000"/>
  </r>
  <r>
    <n v="639"/>
    <x v="635"/>
    <n v="80"/>
    <x v="0"/>
    <x v="19"/>
    <n v="10315"/>
    <x v="419"/>
    <s v="No"/>
    <n v="97822171"/>
    <x v="597"/>
    <x v="0"/>
    <n v="0"/>
  </r>
  <r>
    <n v="640"/>
    <x v="636"/>
    <n v="10"/>
    <x v="6"/>
    <x v="4"/>
    <n v="14155"/>
    <x v="147"/>
    <s v="No"/>
    <n v="97690976"/>
    <x v="598"/>
    <x v="0"/>
    <n v="50000000"/>
  </r>
  <r>
    <n v="641"/>
    <x v="637"/>
    <n v="60"/>
    <x v="3"/>
    <x v="5"/>
    <n v="15745"/>
    <x v="254"/>
    <s v="No"/>
    <n v="97360069"/>
    <x v="599"/>
    <x v="0"/>
    <n v="5000000"/>
  </r>
  <r>
    <n v="642"/>
    <x v="638"/>
    <n v="20"/>
    <x v="5"/>
    <x v="0"/>
    <n v="14350"/>
    <x v="12"/>
    <s v="No"/>
    <n v="97104620"/>
    <x v="600"/>
    <x v="0"/>
    <n v="102500000"/>
  </r>
  <r>
    <n v="643"/>
    <x v="639"/>
    <n v="20"/>
    <x v="5"/>
    <x v="12"/>
    <n v="10255"/>
    <x v="56"/>
    <s v="No"/>
    <n v="96962694"/>
    <x v="601"/>
    <x v="0"/>
    <n v="40000000"/>
  </r>
  <r>
    <n v="644"/>
    <x v="640"/>
    <n v="50"/>
    <x v="1"/>
    <x v="20"/>
    <n v="16495"/>
    <x v="420"/>
    <s v="No"/>
    <n v="96522687"/>
    <x v="602"/>
    <x v="0"/>
    <n v="17000000"/>
  </r>
  <r>
    <n v="645"/>
    <x v="641"/>
    <n v="10"/>
    <x v="6"/>
    <x v="20"/>
    <n v="17110"/>
    <x v="130"/>
    <s v="No"/>
    <n v="96493426"/>
    <x v="603"/>
    <x v="0"/>
    <n v="18000000"/>
  </r>
  <r>
    <n v="646"/>
    <x v="642"/>
    <n v="20"/>
    <x v="5"/>
    <x v="3"/>
    <n v="14125"/>
    <x v="421"/>
    <s v="No"/>
    <n v="95720716"/>
    <x v="604"/>
    <x v="0"/>
    <n v="52500000"/>
  </r>
  <r>
    <n v="647"/>
    <x v="643"/>
    <n v="50"/>
    <x v="1"/>
    <x v="16"/>
    <n v="17410"/>
    <x v="422"/>
    <s v="No"/>
    <n v="95632614"/>
    <x v="605"/>
    <x v="0"/>
    <n v="80000000"/>
  </r>
  <r>
    <n v="648"/>
    <x v="644"/>
    <n v="20"/>
    <x v="5"/>
    <x v="15"/>
    <n v="17035"/>
    <x v="423"/>
    <s v="No"/>
    <n v="95494598"/>
    <x v="606"/>
    <x v="1"/>
    <n v="25000000"/>
  </r>
  <r>
    <n v="649"/>
    <x v="645"/>
    <n v="10"/>
    <x v="6"/>
    <x v="27"/>
    <n v="14755"/>
    <x v="51"/>
    <s v="No"/>
    <n v="95369673"/>
    <x v="607"/>
    <x v="0"/>
    <n v="5000000"/>
  </r>
  <r>
    <n v="650"/>
    <x v="646"/>
    <n v="10"/>
    <x v="6"/>
    <x v="19"/>
    <n v="12400"/>
    <x v="301"/>
    <s v="No"/>
    <n v="95360247"/>
    <x v="608"/>
    <x v="0"/>
    <n v="0"/>
  </r>
  <r>
    <n v="651"/>
    <x v="647"/>
    <n v="10"/>
    <x v="6"/>
    <x v="12"/>
    <n v="17800"/>
    <x v="209"/>
    <s v="Yes"/>
    <n v="95347692"/>
    <x v="609"/>
    <x v="0"/>
    <n v="95000000"/>
  </r>
  <r>
    <n v="652"/>
    <x v="648"/>
    <n v="10"/>
    <x v="6"/>
    <x v="22"/>
    <n v="14320"/>
    <x v="146"/>
    <s v="No"/>
    <n v="95345070"/>
    <x v="610"/>
    <x v="0"/>
    <n v="135000000"/>
  </r>
  <r>
    <n v="653"/>
    <x v="649"/>
    <n v="10"/>
    <x v="6"/>
    <x v="14"/>
    <n v="14230"/>
    <x v="298"/>
    <s v="No"/>
    <n v="95308367"/>
    <x v="611"/>
    <x v="0"/>
    <n v="48000000"/>
  </r>
  <r>
    <n v="654"/>
    <x v="650"/>
    <n v="10"/>
    <x v="6"/>
    <x v="7"/>
    <n v="14560"/>
    <x v="360"/>
    <s v="Yes"/>
    <n v="95149435"/>
    <x v="504"/>
    <x v="0"/>
    <n v="30000000"/>
  </r>
  <r>
    <n v="655"/>
    <x v="651"/>
    <n v="20"/>
    <x v="5"/>
    <x v="3"/>
    <n v="16480"/>
    <x v="424"/>
    <s v="No"/>
    <n v="95020213"/>
    <x v="517"/>
    <x v="0"/>
    <n v="110000000"/>
  </r>
  <r>
    <n v="656"/>
    <x v="652"/>
    <n v="90"/>
    <x v="2"/>
    <x v="25"/>
    <n v="11095"/>
    <x v="43"/>
    <s v="No"/>
    <n v="94999143"/>
    <x v="612"/>
    <x v="0"/>
    <n v="73243106"/>
  </r>
  <r>
    <n v="657"/>
    <x v="653"/>
    <n v="80"/>
    <x v="0"/>
    <x v="12"/>
    <n v="16030"/>
    <x v="425"/>
    <s v="No"/>
    <n v="94835059"/>
    <x v="613"/>
    <x v="0"/>
    <n v="80000000"/>
  </r>
  <r>
    <n v="658"/>
    <x v="654"/>
    <n v="50"/>
    <x v="1"/>
    <x v="4"/>
    <n v="11590"/>
    <x v="269"/>
    <s v="No"/>
    <n v="94784201"/>
    <x v="614"/>
    <x v="0"/>
    <n v="105000000"/>
  </r>
  <r>
    <n v="659"/>
    <x v="655"/>
    <n v="40"/>
    <x v="4"/>
    <x v="4"/>
    <n v="14440"/>
    <x v="426"/>
    <s v="No"/>
    <n v="94514402"/>
    <x v="615"/>
    <x v="0"/>
    <n v="20000000"/>
  </r>
  <r>
    <n v="660"/>
    <x v="656"/>
    <n v="10"/>
    <x v="6"/>
    <x v="27"/>
    <n v="17365"/>
    <x v="427"/>
    <s v="No"/>
    <n v="94326915"/>
    <x v="616"/>
    <x v="0"/>
    <n v="16400000"/>
  </r>
  <r>
    <n v="661"/>
    <x v="657"/>
    <n v="10"/>
    <x v="6"/>
    <x v="0"/>
    <n v="19015"/>
    <x v="428"/>
    <s v="No"/>
    <n v="94125426"/>
    <x v="553"/>
    <x v="0"/>
    <n v="45000000"/>
  </r>
  <r>
    <n v="662"/>
    <x v="658"/>
    <n v="10"/>
    <x v="6"/>
    <x v="0"/>
    <n v="14980"/>
    <x v="429"/>
    <s v="No"/>
    <n v="93953653"/>
    <x v="617"/>
    <x v="0"/>
    <n v="24000000"/>
  </r>
  <r>
    <n v="663"/>
    <x v="659"/>
    <n v="10"/>
    <x v="6"/>
    <x v="14"/>
    <n v="14005"/>
    <x v="430"/>
    <s v="No"/>
    <n v="93932896"/>
    <x v="618"/>
    <x v="0"/>
    <n v="55000000"/>
  </r>
  <r>
    <n v="664"/>
    <x v="660"/>
    <n v="50"/>
    <x v="1"/>
    <x v="16"/>
    <n v="17605"/>
    <x v="138"/>
    <s v="No"/>
    <n v="93926386"/>
    <x v="619"/>
    <x v="0"/>
    <n v="135000000"/>
  </r>
  <r>
    <n v="665"/>
    <x v="661"/>
    <n v="10"/>
    <x v="6"/>
    <x v="3"/>
    <n v="12115"/>
    <x v="290"/>
    <s v="No"/>
    <n v="93772375"/>
    <x v="620"/>
    <x v="0"/>
    <n v="31000000"/>
  </r>
  <r>
    <n v="666"/>
    <x v="662"/>
    <n v="50"/>
    <x v="1"/>
    <x v="31"/>
    <n v="10495"/>
    <x v="217"/>
    <s v="No"/>
    <n v="93771072"/>
    <x v="621"/>
    <x v="0"/>
    <n v="65000000"/>
  </r>
  <r>
    <n v="667"/>
    <x v="663"/>
    <n v="20"/>
    <x v="5"/>
    <x v="12"/>
    <n v="10210"/>
    <x v="431"/>
    <s v="No"/>
    <n v="93617009"/>
    <x v="622"/>
    <x v="0"/>
    <n v="95000000"/>
  </r>
  <r>
    <n v="668"/>
    <x v="664"/>
    <n v="10"/>
    <x v="6"/>
    <x v="20"/>
    <n v="15085"/>
    <x v="432"/>
    <s v="No"/>
    <n v="93607673"/>
    <x v="120"/>
    <x v="0"/>
    <n v="70000000"/>
  </r>
  <r>
    <n v="669"/>
    <x v="665"/>
    <n v="60"/>
    <x v="3"/>
    <x v="54"/>
    <n v="10000"/>
    <x v="141"/>
    <s v="No"/>
    <n v="93600000"/>
    <x v="623"/>
    <x v="0"/>
    <n v="3400000"/>
  </r>
  <r>
    <n v="670"/>
    <x v="666"/>
    <n v="50"/>
    <x v="1"/>
    <x v="32"/>
    <n v="10045"/>
    <x v="433"/>
    <s v="No"/>
    <n v="93589701"/>
    <x v="531"/>
    <x v="0"/>
    <n v="155000000"/>
  </r>
  <r>
    <n v="671"/>
    <x v="667"/>
    <n v="10"/>
    <x v="6"/>
    <x v="19"/>
    <n v="17575"/>
    <x v="434"/>
    <s v="No"/>
    <n v="93466502"/>
    <x v="624"/>
    <x v="0"/>
    <n v="45000000"/>
  </r>
  <r>
    <n v="672"/>
    <x v="668"/>
    <n v="80"/>
    <x v="0"/>
    <x v="18"/>
    <n v="12925"/>
    <x v="55"/>
    <s v="No"/>
    <n v="93436322"/>
    <x v="625"/>
    <x v="0"/>
    <n v="170000000"/>
  </r>
  <r>
    <n v="673"/>
    <x v="669"/>
    <n v="10"/>
    <x v="6"/>
    <x v="20"/>
    <n v="10870"/>
    <x v="435"/>
    <s v="No"/>
    <n v="93375151"/>
    <x v="626"/>
    <x v="0"/>
    <n v="60000000"/>
  </r>
  <r>
    <n v="674"/>
    <x v="670"/>
    <n v="10"/>
    <x v="6"/>
    <x v="14"/>
    <n v="17770"/>
    <x v="186"/>
    <s v="No"/>
    <n v="93354918"/>
    <x v="627"/>
    <x v="0"/>
    <n v="60000000"/>
  </r>
  <r>
    <n v="675"/>
    <x v="671"/>
    <n v="10"/>
    <x v="6"/>
    <x v="45"/>
    <n v="12910"/>
    <x v="436"/>
    <s v="No"/>
    <n v="93300000"/>
    <x v="167"/>
    <x v="0"/>
    <n v="170000000"/>
  </r>
  <r>
    <n v="676"/>
    <x v="672"/>
    <n v="30"/>
    <x v="7"/>
    <x v="14"/>
    <n v="18745"/>
    <x v="82"/>
    <s v="No"/>
    <n v="93136620"/>
    <x v="628"/>
    <x v="0"/>
    <n v="80000000"/>
  </r>
  <r>
    <n v="677"/>
    <x v="673"/>
    <n v="80"/>
    <x v="0"/>
    <x v="3"/>
    <n v="19090"/>
    <x v="437"/>
    <s v="No"/>
    <n v="93050117"/>
    <x v="629"/>
    <x v="0"/>
    <n v="120000000"/>
  </r>
  <r>
    <n v="678"/>
    <x v="674"/>
    <n v="60"/>
    <x v="3"/>
    <x v="1"/>
    <n v="11500"/>
    <x v="438"/>
    <s v="No"/>
    <n v="92969824"/>
    <x v="473"/>
    <x v="0"/>
    <n v="80000000"/>
  </r>
  <r>
    <n v="679"/>
    <x v="675"/>
    <n v="10"/>
    <x v="6"/>
    <x v="14"/>
    <n v="10480"/>
    <x v="439"/>
    <s v="No"/>
    <n v="92955420"/>
    <x v="630"/>
    <x v="0"/>
    <n v="78000000"/>
  </r>
  <r>
    <n v="680"/>
    <x v="676"/>
    <n v="10"/>
    <x v="6"/>
    <x v="12"/>
    <n v="10630"/>
    <x v="129"/>
    <s v="No"/>
    <n v="92186262"/>
    <x v="631"/>
    <x v="0"/>
    <n v="37000000"/>
  </r>
  <r>
    <n v="681"/>
    <x v="677"/>
    <n v="10"/>
    <x v="6"/>
    <x v="11"/>
    <n v="19210"/>
    <x v="440"/>
    <s v="No"/>
    <n v="92112663"/>
    <x v="531"/>
    <x v="0"/>
    <n v="155000000"/>
  </r>
  <r>
    <n v="682"/>
    <x v="678"/>
    <n v="80"/>
    <x v="0"/>
    <x v="22"/>
    <n v="16660"/>
    <x v="104"/>
    <s v="Yes"/>
    <n v="91968563"/>
    <x v="632"/>
    <x v="0"/>
    <n v="46000000"/>
  </r>
  <r>
    <n v="683"/>
    <x v="679"/>
    <n v="10"/>
    <x v="6"/>
    <x v="27"/>
    <n v="10855"/>
    <x v="50"/>
    <s v="No"/>
    <n v="91744616"/>
    <x v="186"/>
    <x v="0"/>
    <n v="65000000"/>
  </r>
  <r>
    <n v="684"/>
    <x v="680"/>
    <n v="10"/>
    <x v="6"/>
    <x v="9"/>
    <n v="15265"/>
    <x v="228"/>
    <s v="No"/>
    <n v="91742160"/>
    <x v="516"/>
    <x v="0"/>
    <n v="50000000"/>
  </r>
  <r>
    <n v="685"/>
    <x v="681"/>
    <n v="10"/>
    <x v="6"/>
    <x v="3"/>
    <n v="16015"/>
    <x v="441"/>
    <s v="No"/>
    <n v="91547205"/>
    <x v="206"/>
    <x v="0"/>
    <n v="22000000"/>
  </r>
  <r>
    <n v="686"/>
    <x v="682"/>
    <n v="20"/>
    <x v="5"/>
    <x v="9"/>
    <n v="13060"/>
    <x v="442"/>
    <s v="No"/>
    <n v="91386097"/>
    <x v="454"/>
    <x v="0"/>
    <n v="0"/>
  </r>
  <r>
    <n v="687"/>
    <x v="683"/>
    <n v="10"/>
    <x v="6"/>
    <x v="36"/>
    <n v="15295"/>
    <x v="443"/>
    <s v="No"/>
    <n v="91381194"/>
    <x v="633"/>
    <x v="0"/>
    <n v="55000000"/>
  </r>
  <r>
    <n v="688"/>
    <x v="684"/>
    <n v="10"/>
    <x v="6"/>
    <x v="5"/>
    <n v="12055"/>
    <x v="110"/>
    <s v="No"/>
    <n v="91188905"/>
    <x v="634"/>
    <x v="0"/>
    <n v="80000000"/>
  </r>
  <r>
    <n v="689"/>
    <x v="685"/>
    <n v="20"/>
    <x v="5"/>
    <x v="18"/>
    <n v="10675"/>
    <x v="444"/>
    <s v="No"/>
    <n v="91125143"/>
    <x v="635"/>
    <x v="0"/>
    <n v="15000000"/>
  </r>
  <r>
    <n v="690"/>
    <x v="686"/>
    <n v="10"/>
    <x v="6"/>
    <x v="20"/>
    <n v="14545"/>
    <x v="445"/>
    <s v="No"/>
    <n v="91038276"/>
    <x v="318"/>
    <x v="0"/>
    <n v="0"/>
  </r>
  <r>
    <n v="691"/>
    <x v="687"/>
    <n v="10"/>
    <x v="6"/>
    <x v="31"/>
    <n v="14530"/>
    <x v="210"/>
    <s v="No"/>
    <n v="91030827"/>
    <x v="557"/>
    <x v="0"/>
    <n v="50000000"/>
  </r>
  <r>
    <n v="692"/>
    <x v="209"/>
    <n v="10"/>
    <x v="6"/>
    <x v="29"/>
    <n v="19180"/>
    <x v="446"/>
    <s v="No"/>
    <n v="90815558"/>
    <x v="205"/>
    <x v="0"/>
    <n v="40000000"/>
  </r>
  <r>
    <n v="693"/>
    <x v="688"/>
    <n v="40"/>
    <x v="4"/>
    <x v="12"/>
    <n v="18280"/>
    <x v="447"/>
    <s v="No"/>
    <n v="90759676"/>
    <x v="636"/>
    <x v="0"/>
    <n v="200000000"/>
  </r>
  <r>
    <n v="694"/>
    <x v="689"/>
    <n v="10"/>
    <x v="6"/>
    <x v="10"/>
    <n v="10375"/>
    <x v="352"/>
    <s v="Yes"/>
    <n v="90710620"/>
    <x v="637"/>
    <x v="0"/>
    <n v="40000000"/>
  </r>
  <r>
    <n v="695"/>
    <x v="690"/>
    <n v="10"/>
    <x v="6"/>
    <x v="19"/>
    <n v="13540"/>
    <x v="448"/>
    <s v="No"/>
    <n v="90648202"/>
    <x v="638"/>
    <x v="0"/>
    <n v="22000000"/>
  </r>
  <r>
    <n v="696"/>
    <x v="691"/>
    <n v="60"/>
    <x v="3"/>
    <x v="31"/>
    <n v="16750"/>
    <x v="449"/>
    <s v="No"/>
    <n v="90646554"/>
    <x v="639"/>
    <x v="0"/>
    <n v="60000000"/>
  </r>
  <r>
    <n v="697"/>
    <x v="692"/>
    <n v="40"/>
    <x v="4"/>
    <x v="14"/>
    <n v="12355"/>
    <x v="200"/>
    <s v="No"/>
    <n v="90580000"/>
    <x v="640"/>
    <x v="0"/>
    <n v="60000000"/>
  </r>
  <r>
    <n v="698"/>
    <x v="693"/>
    <n v="10"/>
    <x v="6"/>
    <x v="25"/>
    <n v="14155"/>
    <x v="147"/>
    <s v="No"/>
    <n v="90570999"/>
    <x v="641"/>
    <x v="0"/>
    <n v="51000000"/>
  </r>
  <r>
    <n v="699"/>
    <x v="694"/>
    <n v="10"/>
    <x v="6"/>
    <x v="4"/>
    <n v="13945"/>
    <x v="450"/>
    <s v="Yes"/>
    <n v="90559416"/>
    <x v="642"/>
    <x v="0"/>
    <n v="11000000"/>
  </r>
  <r>
    <n v="700"/>
    <x v="695"/>
    <n v="10"/>
    <x v="6"/>
    <x v="0"/>
    <n v="18970"/>
    <x v="451"/>
    <s v="No"/>
    <n v="90508336"/>
    <x v="195"/>
    <x v="0"/>
    <n v="150000000"/>
  </r>
  <r>
    <n v="701"/>
    <x v="696"/>
    <n v="10"/>
    <x v="6"/>
    <x v="21"/>
    <n v="13975"/>
    <x v="452"/>
    <s v="No"/>
    <n v="90463574"/>
    <x v="266"/>
    <x v="0"/>
    <n v="7000000"/>
  </r>
  <r>
    <n v="702"/>
    <x v="697"/>
    <n v="80"/>
    <x v="0"/>
    <x v="25"/>
    <n v="11605"/>
    <x v="222"/>
    <s v="No"/>
    <n v="90454043"/>
    <x v="643"/>
    <x v="0"/>
    <n v="32000000"/>
  </r>
  <r>
    <n v="703"/>
    <x v="698"/>
    <n v="60"/>
    <x v="3"/>
    <x v="22"/>
    <n v="11875"/>
    <x v="105"/>
    <s v="No"/>
    <n v="90443603"/>
    <x v="628"/>
    <x v="0"/>
    <n v="80000000"/>
  </r>
  <r>
    <n v="704"/>
    <x v="699"/>
    <n v="10"/>
    <x v="6"/>
    <x v="2"/>
    <n v="19135"/>
    <x v="220"/>
    <s v="No"/>
    <n v="90411453"/>
    <x v="362"/>
    <x v="0"/>
    <n v="150000000"/>
  </r>
  <r>
    <n v="705"/>
    <x v="700"/>
    <n v="10"/>
    <x v="6"/>
    <x v="12"/>
    <n v="11095"/>
    <x v="43"/>
    <s v="No"/>
    <n v="90380162"/>
    <x v="644"/>
    <x v="0"/>
    <n v="60000000"/>
  </r>
  <r>
    <n v="706"/>
    <x v="701"/>
    <n v="60"/>
    <x v="3"/>
    <x v="9"/>
    <n v="18145"/>
    <x v="453"/>
    <s v="No"/>
    <n v="90282580"/>
    <x v="645"/>
    <x v="0"/>
    <n v="50000000"/>
  </r>
  <r>
    <n v="707"/>
    <x v="702"/>
    <n v="10"/>
    <x v="6"/>
    <x v="16"/>
    <n v="17110"/>
    <x v="130"/>
    <s v="Yes"/>
    <n v="90168825"/>
    <x v="603"/>
    <x v="0"/>
    <n v="18000000"/>
  </r>
  <r>
    <n v="708"/>
    <x v="703"/>
    <n v="10"/>
    <x v="6"/>
    <x v="16"/>
    <n v="17890"/>
    <x v="454"/>
    <s v="No"/>
    <n v="90135191"/>
    <x v="646"/>
    <x v="0"/>
    <n v="30000000"/>
  </r>
  <r>
    <n v="709"/>
    <x v="704"/>
    <n v="80"/>
    <x v="0"/>
    <x v="2"/>
    <n v="10525"/>
    <x v="122"/>
    <s v="Yes"/>
    <n v="89760956"/>
    <x v="524"/>
    <x v="0"/>
    <n v="155000000"/>
  </r>
  <r>
    <n v="710"/>
    <x v="705"/>
    <n v="10"/>
    <x v="6"/>
    <x v="17"/>
    <n v="16045"/>
    <x v="455"/>
    <s v="No"/>
    <n v="89706988"/>
    <x v="647"/>
    <x v="0"/>
    <n v="55000000"/>
  </r>
  <r>
    <n v="711"/>
    <x v="706"/>
    <n v="10"/>
    <x v="6"/>
    <x v="30"/>
    <n v="16900"/>
    <x v="456"/>
    <s v="No"/>
    <n v="89325780"/>
    <x v="283"/>
    <x v="0"/>
    <n v="14000000"/>
  </r>
  <r>
    <n v="712"/>
    <x v="707"/>
    <n v="60"/>
    <x v="3"/>
    <x v="25"/>
    <n v="12415"/>
    <x v="457"/>
    <s v="No"/>
    <n v="89296573"/>
    <x v="648"/>
    <x v="0"/>
    <n v="100000000"/>
  </r>
  <r>
    <n v="713"/>
    <x v="708"/>
    <n v="50"/>
    <x v="1"/>
    <x v="9"/>
    <n v="14350"/>
    <x v="12"/>
    <s v="No"/>
    <n v="89289910"/>
    <x v="591"/>
    <x v="0"/>
    <n v="275000000"/>
  </r>
  <r>
    <n v="714"/>
    <x v="709"/>
    <n v="10"/>
    <x v="6"/>
    <x v="2"/>
    <n v="15265"/>
    <x v="228"/>
    <s v="Yes"/>
    <n v="89256424"/>
    <x v="649"/>
    <x v="0"/>
    <n v="48000000"/>
  </r>
  <r>
    <n v="715"/>
    <x v="710"/>
    <n v="10"/>
    <x v="6"/>
    <x v="25"/>
    <n v="11965"/>
    <x v="381"/>
    <s v="Yes"/>
    <n v="89138076"/>
    <x v="650"/>
    <x v="0"/>
    <n v="40000000"/>
  </r>
  <r>
    <n v="716"/>
    <x v="711"/>
    <n v="80"/>
    <x v="0"/>
    <x v="3"/>
    <n v="18745"/>
    <x v="82"/>
    <s v="No"/>
    <n v="89107235"/>
    <x v="651"/>
    <x v="0"/>
    <n v="120000000"/>
  </r>
  <r>
    <n v="717"/>
    <x v="712"/>
    <n v="10"/>
    <x v="6"/>
    <x v="46"/>
    <n v="10000"/>
    <x v="141"/>
    <s v="No"/>
    <n v="89000000"/>
    <x v="631"/>
    <x v="0"/>
    <n v="37000000"/>
  </r>
  <r>
    <n v="718"/>
    <x v="713"/>
    <n v="10"/>
    <x v="6"/>
    <x v="0"/>
    <n v="14710"/>
    <x v="458"/>
    <s v="No"/>
    <n v="88915214"/>
    <x v="652"/>
    <x v="0"/>
    <n v="38000000"/>
  </r>
  <r>
    <n v="719"/>
    <x v="714"/>
    <n v="10"/>
    <x v="6"/>
    <x v="24"/>
    <n v="16570"/>
    <x v="459"/>
    <s v="No"/>
    <n v="88846113"/>
    <x v="653"/>
    <x v="0"/>
    <n v="26000000"/>
  </r>
  <r>
    <n v="720"/>
    <x v="715"/>
    <n v="40"/>
    <x v="4"/>
    <x v="12"/>
    <n v="16975"/>
    <x v="286"/>
    <s v="No"/>
    <n v="88768303"/>
    <x v="654"/>
    <x v="0"/>
    <n v="95000000"/>
  </r>
  <r>
    <n v="721"/>
    <x v="716"/>
    <n v="10"/>
    <x v="6"/>
    <x v="10"/>
    <n v="16720"/>
    <x v="460"/>
    <s v="No"/>
    <n v="88715192"/>
    <x v="432"/>
    <x v="0"/>
    <n v="6000000"/>
  </r>
  <r>
    <n v="722"/>
    <x v="717"/>
    <n v="60"/>
    <x v="3"/>
    <x v="13"/>
    <n v="13840"/>
    <x v="461"/>
    <s v="Yes"/>
    <n v="88625922"/>
    <x v="655"/>
    <x v="0"/>
    <n v="45000000"/>
  </r>
  <r>
    <n v="723"/>
    <x v="718"/>
    <n v="10"/>
    <x v="6"/>
    <x v="21"/>
    <n v="11770"/>
    <x v="75"/>
    <s v="No"/>
    <n v="88621914"/>
    <x v="14"/>
    <x v="0"/>
    <n v="200000000"/>
  </r>
  <r>
    <n v="724"/>
    <x v="719"/>
    <n v="10"/>
    <x v="6"/>
    <x v="10"/>
    <n v="12115"/>
    <x v="290"/>
    <s v="No"/>
    <n v="88513495"/>
    <x v="656"/>
    <x v="0"/>
    <n v="50000000"/>
  </r>
  <r>
    <n v="725"/>
    <x v="720"/>
    <n v="80"/>
    <x v="0"/>
    <x v="36"/>
    <n v="14875"/>
    <x v="462"/>
    <s v="No"/>
    <n v="88214660"/>
    <x v="657"/>
    <x v="0"/>
    <n v="175000000"/>
  </r>
  <r>
    <n v="726"/>
    <x v="721"/>
    <n v="50"/>
    <x v="1"/>
    <x v="7"/>
    <n v="10660"/>
    <x v="52"/>
    <s v="No"/>
    <n v="88200225"/>
    <x v="571"/>
    <x v="0"/>
    <n v="60000000"/>
  </r>
  <r>
    <n v="727"/>
    <x v="722"/>
    <n v="10"/>
    <x v="6"/>
    <x v="7"/>
    <n v="14890"/>
    <x v="355"/>
    <s v="No"/>
    <n v="88073507"/>
    <x v="658"/>
    <x v="0"/>
    <n v="42000000"/>
  </r>
  <r>
    <n v="728"/>
    <x v="723"/>
    <n v="10"/>
    <x v="6"/>
    <x v="33"/>
    <n v="15730"/>
    <x v="463"/>
    <s v="No"/>
    <n v="88036683"/>
    <x v="489"/>
    <x v="0"/>
    <n v="10000000"/>
  </r>
  <r>
    <n v="729"/>
    <x v="724"/>
    <n v="10"/>
    <x v="6"/>
    <x v="5"/>
    <n v="17485"/>
    <x v="464"/>
    <s v="No"/>
    <n v="87707396"/>
    <x v="659"/>
    <x v="0"/>
    <n v="66000000"/>
  </r>
  <r>
    <n v="730"/>
    <x v="725"/>
    <n v="80"/>
    <x v="0"/>
    <x v="24"/>
    <n v="15655"/>
    <x v="465"/>
    <s v="Yes"/>
    <n v="87666629"/>
    <x v="660"/>
    <x v="0"/>
    <n v="40000000"/>
  </r>
  <r>
    <n v="731"/>
    <x v="726"/>
    <n v="40"/>
    <x v="4"/>
    <x v="55"/>
    <n v="10000"/>
    <x v="141"/>
    <s v="No"/>
    <n v="87400000"/>
    <x v="661"/>
    <x v="0"/>
    <n v="63700000"/>
  </r>
  <r>
    <n v="732"/>
    <x v="727"/>
    <n v="10"/>
    <x v="6"/>
    <x v="4"/>
    <n v="13615"/>
    <x v="80"/>
    <s v="No"/>
    <n v="87341380"/>
    <x v="662"/>
    <x v="0"/>
    <n v="55000000"/>
  </r>
  <r>
    <n v="733"/>
    <x v="728"/>
    <n v="30"/>
    <x v="7"/>
    <x v="31"/>
    <n v="15265"/>
    <x v="228"/>
    <s v="No"/>
    <n v="87178599"/>
    <x v="532"/>
    <x v="0"/>
    <n v="0"/>
  </r>
  <r>
    <n v="734"/>
    <x v="729"/>
    <n v="10"/>
    <x v="6"/>
    <x v="17"/>
    <n v="18025"/>
    <x v="466"/>
    <s v="Yes"/>
    <n v="87025093"/>
    <x v="663"/>
    <x v="0"/>
    <n v="5000000"/>
  </r>
  <r>
    <n v="735"/>
    <x v="730"/>
    <n v="10"/>
    <x v="6"/>
    <x v="13"/>
    <n v="19135"/>
    <x v="220"/>
    <s v="No"/>
    <n v="86907746"/>
    <x v="624"/>
    <x v="0"/>
    <n v="45000000"/>
  </r>
  <r>
    <n v="736"/>
    <x v="731"/>
    <n v="10"/>
    <x v="6"/>
    <x v="39"/>
    <n v="10075"/>
    <x v="467"/>
    <s v="No"/>
    <n v="86611121"/>
    <x v="664"/>
    <x v="0"/>
    <n v="20000000"/>
  </r>
  <r>
    <n v="737"/>
    <x v="732"/>
    <n v="10"/>
    <x v="6"/>
    <x v="47"/>
    <n v="12490"/>
    <x v="468"/>
    <s v="No"/>
    <n v="86600000"/>
    <x v="1"/>
    <x v="0"/>
    <n v="200000000"/>
  </r>
  <r>
    <n v="738"/>
    <x v="733"/>
    <n v="10"/>
    <x v="6"/>
    <x v="52"/>
    <n v="13705"/>
    <x v="469"/>
    <s v="No"/>
    <n v="86432520"/>
    <x v="75"/>
    <x v="0"/>
    <n v="110000000"/>
  </r>
  <r>
    <n v="739"/>
    <x v="734"/>
    <n v="80"/>
    <x v="0"/>
    <x v="46"/>
    <n v="12910"/>
    <x v="436"/>
    <s v="No"/>
    <n v="86300000"/>
    <x v="458"/>
    <x v="0"/>
    <n v="65000000"/>
  </r>
  <r>
    <n v="740"/>
    <x v="735"/>
    <n v="10"/>
    <x v="6"/>
    <x v="18"/>
    <n v="14155"/>
    <x v="147"/>
    <s v="Yes"/>
    <n v="86208010"/>
    <x v="665"/>
    <x v="0"/>
    <n v="40000000"/>
  </r>
  <r>
    <n v="741"/>
    <x v="736"/>
    <n v="10"/>
    <x v="6"/>
    <x v="7"/>
    <n v="15325"/>
    <x v="470"/>
    <s v="No"/>
    <n v="86047227"/>
    <x v="641"/>
    <x v="0"/>
    <n v="51000000"/>
  </r>
  <r>
    <n v="742"/>
    <x v="737"/>
    <n v="10"/>
    <x v="6"/>
    <x v="18"/>
    <n v="16990"/>
    <x v="471"/>
    <s v="No"/>
    <n v="85911262"/>
    <x v="666"/>
    <x v="0"/>
    <n v="65000000"/>
  </r>
  <r>
    <n v="743"/>
    <x v="738"/>
    <n v="60"/>
    <x v="3"/>
    <x v="14"/>
    <n v="10495"/>
    <x v="217"/>
    <s v="Yes"/>
    <n v="85846296"/>
    <x v="473"/>
    <x v="0"/>
    <n v="35000000"/>
  </r>
  <r>
    <n v="744"/>
    <x v="739"/>
    <n v="50"/>
    <x v="1"/>
    <x v="18"/>
    <n v="10930"/>
    <x v="120"/>
    <s v="No"/>
    <n v="85755593"/>
    <x v="428"/>
    <x v="0"/>
    <n v="80000000"/>
  </r>
  <r>
    <n v="745"/>
    <x v="740"/>
    <n v="10"/>
    <x v="6"/>
    <x v="30"/>
    <n v="15220"/>
    <x v="472"/>
    <s v="Yes"/>
    <n v="85748264"/>
    <x v="655"/>
    <x v="0"/>
    <n v="45000000"/>
  </r>
  <r>
    <n v="746"/>
    <x v="741"/>
    <n v="60"/>
    <x v="3"/>
    <x v="5"/>
    <n v="19045"/>
    <x v="473"/>
    <s v="No"/>
    <n v="85744662"/>
    <x v="527"/>
    <x v="0"/>
    <n v="30000000"/>
  </r>
  <r>
    <n v="747"/>
    <x v="742"/>
    <n v="80"/>
    <x v="0"/>
    <x v="12"/>
    <n v="13270"/>
    <x v="83"/>
    <s v="No"/>
    <n v="85463309"/>
    <x v="667"/>
    <x v="0"/>
    <n v="110000000"/>
  </r>
  <r>
    <n v="748"/>
    <x v="743"/>
    <n v="60"/>
    <x v="3"/>
    <x v="7"/>
    <n v="18790"/>
    <x v="474"/>
    <s v="No"/>
    <n v="85416609"/>
    <x v="668"/>
    <x v="0"/>
    <n v="30000000"/>
  </r>
  <r>
    <n v="749"/>
    <x v="744"/>
    <n v="60"/>
    <x v="3"/>
    <x v="16"/>
    <n v="10780"/>
    <x v="96"/>
    <s v="No"/>
    <n v="85336277"/>
    <x v="669"/>
    <x v="0"/>
    <n v="0"/>
  </r>
  <r>
    <n v="750"/>
    <x v="745"/>
    <n v="10"/>
    <x v="6"/>
    <x v="52"/>
    <n v="18385"/>
    <x v="213"/>
    <s v="Yes"/>
    <n v="85182160"/>
    <x v="670"/>
    <x v="0"/>
    <n v="0"/>
  </r>
  <r>
    <n v="751"/>
    <x v="746"/>
    <n v="80"/>
    <x v="0"/>
    <x v="39"/>
    <n v="10090"/>
    <x v="475"/>
    <s v="Yes"/>
    <n v="85160248"/>
    <x v="671"/>
    <x v="0"/>
    <n v="17000000"/>
  </r>
  <r>
    <n v="752"/>
    <x v="747"/>
    <n v="10"/>
    <x v="6"/>
    <x v="3"/>
    <n v="18385"/>
    <x v="213"/>
    <s v="Yes"/>
    <n v="85028192"/>
    <x v="672"/>
    <x v="0"/>
    <n v="100000000"/>
  </r>
  <r>
    <n v="753"/>
    <x v="157"/>
    <n v="40"/>
    <x v="4"/>
    <x v="56"/>
    <n v="10000"/>
    <x v="141"/>
    <s v="No"/>
    <n v="85000000"/>
    <x v="155"/>
    <x v="0"/>
    <n v="2900000"/>
  </r>
  <r>
    <n v="754"/>
    <x v="748"/>
    <n v="10"/>
    <x v="6"/>
    <x v="36"/>
    <n v="12940"/>
    <x v="476"/>
    <s v="No"/>
    <n v="84778149"/>
    <x v="673"/>
    <x v="0"/>
    <n v="0"/>
  </r>
  <r>
    <n v="755"/>
    <x v="749"/>
    <n v="40"/>
    <x v="4"/>
    <x v="12"/>
    <n v="14725"/>
    <x v="477"/>
    <s v="Yes"/>
    <n v="84752907"/>
    <x v="674"/>
    <x v="0"/>
    <n v="3000000"/>
  </r>
  <r>
    <n v="756"/>
    <x v="750"/>
    <n v="10"/>
    <x v="6"/>
    <x v="18"/>
    <n v="15895"/>
    <x v="344"/>
    <s v="No"/>
    <n v="84525432"/>
    <x v="287"/>
    <x v="0"/>
    <n v="73000000"/>
  </r>
  <r>
    <n v="757"/>
    <x v="751"/>
    <n v="60"/>
    <x v="3"/>
    <x v="10"/>
    <n v="18580"/>
    <x v="14"/>
    <s v="Yes"/>
    <n v="84500122"/>
    <x v="320"/>
    <x v="0"/>
    <n v="65000000"/>
  </r>
  <r>
    <n v="758"/>
    <x v="752"/>
    <n v="60"/>
    <x v="3"/>
    <x v="2"/>
    <n v="16510"/>
    <x v="478"/>
    <s v="No"/>
    <n v="84395073"/>
    <x v="470"/>
    <x v="0"/>
    <n v="110000000"/>
  </r>
  <r>
    <n v="759"/>
    <x v="753"/>
    <n v="10"/>
    <x v="6"/>
    <x v="12"/>
    <n v="18205"/>
    <x v="26"/>
    <s v="No"/>
    <n v="84351197"/>
    <x v="675"/>
    <x v="0"/>
    <n v="50000000"/>
  </r>
  <r>
    <n v="760"/>
    <x v="754"/>
    <n v="60"/>
    <x v="3"/>
    <x v="10"/>
    <n v="15625"/>
    <x v="479"/>
    <s v="No"/>
    <n v="84325668"/>
    <x v="676"/>
    <x v="0"/>
    <n v="85000000"/>
  </r>
  <r>
    <n v="761"/>
    <x v="755"/>
    <n v="60"/>
    <x v="3"/>
    <x v="57"/>
    <n v="10000"/>
    <x v="141"/>
    <s v="No"/>
    <n v="84300000"/>
    <x v="677"/>
    <x v="0"/>
    <n v="26000000"/>
  </r>
  <r>
    <n v="762"/>
    <x v="756"/>
    <n v="40"/>
    <x v="4"/>
    <x v="18"/>
    <n v="10420"/>
    <x v="480"/>
    <s v="No"/>
    <n v="84273813"/>
    <x v="678"/>
    <x v="0"/>
    <n v="6500000"/>
  </r>
  <r>
    <n v="763"/>
    <x v="757"/>
    <n v="60"/>
    <x v="3"/>
    <x v="7"/>
    <n v="12820"/>
    <x v="481"/>
    <s v="Yes"/>
    <n v="84185387"/>
    <x v="679"/>
    <x v="0"/>
    <n v="25000000"/>
  </r>
  <r>
    <n v="764"/>
    <x v="758"/>
    <n v="50"/>
    <x v="1"/>
    <x v="7"/>
    <n v="12385"/>
    <x v="482"/>
    <s v="No"/>
    <n v="84136909"/>
    <x v="378"/>
    <x v="0"/>
    <n v="50000000"/>
  </r>
  <r>
    <n v="765"/>
    <x v="759"/>
    <n v="60"/>
    <x v="3"/>
    <x v="20"/>
    <n v="11665"/>
    <x v="483"/>
    <s v="No"/>
    <n v="84052762"/>
    <x v="680"/>
    <x v="0"/>
    <n v="90000000"/>
  </r>
  <r>
    <n v="766"/>
    <x v="760"/>
    <n v="10"/>
    <x v="6"/>
    <x v="15"/>
    <n v="15820"/>
    <x v="484"/>
    <s v="No"/>
    <n v="84049211"/>
    <x v="681"/>
    <x v="0"/>
    <n v="65000000"/>
  </r>
  <r>
    <n v="767"/>
    <x v="761"/>
    <n v="10"/>
    <x v="6"/>
    <x v="18"/>
    <n v="11140"/>
    <x v="403"/>
    <s v="No"/>
    <n v="83911193"/>
    <x v="569"/>
    <x v="0"/>
    <n v="40000000"/>
  </r>
  <r>
    <n v="768"/>
    <x v="762"/>
    <n v="80"/>
    <x v="0"/>
    <x v="31"/>
    <n v="11995"/>
    <x v="485"/>
    <s v="No"/>
    <n v="83826398"/>
    <x v="682"/>
    <x v="0"/>
    <n v="66000000"/>
  </r>
  <r>
    <n v="769"/>
    <x v="763"/>
    <n v="10"/>
    <x v="6"/>
    <x v="0"/>
    <n v="10390"/>
    <x v="143"/>
    <s v="No"/>
    <n v="83823381"/>
    <x v="683"/>
    <x v="0"/>
    <n v="30000000"/>
  </r>
  <r>
    <n v="770"/>
    <x v="764"/>
    <n v="10"/>
    <x v="6"/>
    <x v="6"/>
    <n v="17140"/>
    <x v="486"/>
    <s v="No"/>
    <n v="83700000"/>
    <x v="530"/>
    <x v="0"/>
    <n v="205000000"/>
  </r>
  <r>
    <n v="771"/>
    <x v="765"/>
    <n v="40"/>
    <x v="4"/>
    <x v="3"/>
    <n v="17725"/>
    <x v="487"/>
    <s v="Yes"/>
    <n v="83670083"/>
    <x v="684"/>
    <x v="0"/>
    <n v="150000000"/>
  </r>
  <r>
    <n v="772"/>
    <x v="766"/>
    <n v="40"/>
    <x v="4"/>
    <x v="9"/>
    <n v="16675"/>
    <x v="488"/>
    <s v="Yes"/>
    <n v="83586447"/>
    <x v="599"/>
    <x v="0"/>
    <n v="5000000"/>
  </r>
  <r>
    <n v="773"/>
    <x v="767"/>
    <n v="80"/>
    <x v="0"/>
    <x v="12"/>
    <n v="16135"/>
    <x v="489"/>
    <s v="No"/>
    <n v="83552429"/>
    <x v="685"/>
    <x v="0"/>
    <n v="70000000"/>
  </r>
  <r>
    <n v="774"/>
    <x v="768"/>
    <n v="40"/>
    <x v="4"/>
    <x v="13"/>
    <n v="13210"/>
    <x v="48"/>
    <s v="No"/>
    <n v="83504017"/>
    <x v="686"/>
    <x v="0"/>
    <n v="75000000"/>
  </r>
  <r>
    <n v="775"/>
    <x v="769"/>
    <n v="10"/>
    <x v="6"/>
    <x v="23"/>
    <n v="14635"/>
    <x v="490"/>
    <s v="No"/>
    <n v="83453539"/>
    <x v="214"/>
    <x v="0"/>
    <n v="85000000"/>
  </r>
  <r>
    <n v="776"/>
    <x v="770"/>
    <n v="60"/>
    <x v="3"/>
    <x v="18"/>
    <n v="10675"/>
    <x v="444"/>
    <s v="No"/>
    <n v="83350911"/>
    <x v="687"/>
    <x v="0"/>
    <n v="132000000"/>
  </r>
  <r>
    <n v="777"/>
    <x v="771"/>
    <n v="10"/>
    <x v="6"/>
    <x v="28"/>
    <n v="10825"/>
    <x v="491"/>
    <s v="No"/>
    <n v="83339362"/>
    <x v="254"/>
    <x v="0"/>
    <n v="28000000"/>
  </r>
  <r>
    <n v="778"/>
    <x v="772"/>
    <n v="70"/>
    <x v="8"/>
    <x v="57"/>
    <n v="10000"/>
    <x v="141"/>
    <s v="No"/>
    <n v="83320000"/>
    <x v="432"/>
    <x v="0"/>
    <n v="6000000"/>
  </r>
  <r>
    <n v="779"/>
    <x v="773"/>
    <n v="20"/>
    <x v="5"/>
    <x v="9"/>
    <n v="18760"/>
    <x v="71"/>
    <s v="No"/>
    <n v="83299761"/>
    <x v="318"/>
    <x v="0"/>
    <n v="0"/>
  </r>
  <r>
    <n v="780"/>
    <x v="774"/>
    <n v="10"/>
    <x v="6"/>
    <x v="33"/>
    <n v="13120"/>
    <x v="6"/>
    <s v="No"/>
    <n v="83287363"/>
    <x v="688"/>
    <x v="0"/>
    <n v="45000000"/>
  </r>
  <r>
    <n v="781"/>
    <x v="775"/>
    <n v="10"/>
    <x v="6"/>
    <x v="27"/>
    <n v="15985"/>
    <x v="299"/>
    <s v="No"/>
    <n v="83216475"/>
    <x v="400"/>
    <x v="0"/>
    <n v="30000000"/>
  </r>
  <r>
    <n v="782"/>
    <x v="776"/>
    <n v="20"/>
    <x v="5"/>
    <x v="4"/>
    <n v="18745"/>
    <x v="82"/>
    <s v="No"/>
    <n v="83077762"/>
    <x v="689"/>
    <x v="0"/>
    <n v="90000000"/>
  </r>
  <r>
    <n v="783"/>
    <x v="777"/>
    <n v="50"/>
    <x v="1"/>
    <x v="17"/>
    <n v="14680"/>
    <x v="492"/>
    <s v="No"/>
    <n v="83043761"/>
    <x v="690"/>
    <x v="0"/>
    <n v="13900000"/>
  </r>
  <r>
    <n v="784"/>
    <x v="778"/>
    <n v="60"/>
    <x v="3"/>
    <x v="9"/>
    <n v="17650"/>
    <x v="139"/>
    <s v="No"/>
    <n v="83028130"/>
    <x v="691"/>
    <x v="0"/>
    <n v="135000000"/>
  </r>
  <r>
    <n v="785"/>
    <x v="779"/>
    <n v="10"/>
    <x v="6"/>
    <x v="11"/>
    <n v="11185"/>
    <x v="353"/>
    <s v="No"/>
    <n v="82976682"/>
    <x v="692"/>
    <x v="0"/>
    <n v="0"/>
  </r>
  <r>
    <n v="786"/>
    <x v="780"/>
    <n v="10"/>
    <x v="6"/>
    <x v="17"/>
    <n v="14005"/>
    <x v="430"/>
    <s v="No"/>
    <n v="82931301"/>
    <x v="693"/>
    <x v="0"/>
    <n v="45000000"/>
  </r>
  <r>
    <n v="787"/>
    <x v="781"/>
    <n v="10"/>
    <x v="6"/>
    <x v="12"/>
    <n v="12925"/>
    <x v="55"/>
    <s v="No"/>
    <n v="82624961"/>
    <x v="694"/>
    <x v="0"/>
    <n v="20000000"/>
  </r>
  <r>
    <n v="788"/>
    <x v="782"/>
    <n v="40"/>
    <x v="4"/>
    <x v="10"/>
    <n v="12265"/>
    <x v="493"/>
    <s v="No"/>
    <n v="82599768"/>
    <x v="695"/>
    <x v="0"/>
    <n v="82500000"/>
  </r>
  <r>
    <n v="789"/>
    <x v="783"/>
    <n v="10"/>
    <x v="6"/>
    <x v="17"/>
    <n v="18475"/>
    <x v="494"/>
    <s v="Yes"/>
    <n v="82571173"/>
    <x v="696"/>
    <x v="0"/>
    <n v="60000000"/>
  </r>
  <r>
    <n v="790"/>
    <x v="784"/>
    <n v="10"/>
    <x v="6"/>
    <x v="16"/>
    <n v="12595"/>
    <x v="495"/>
    <s v="No"/>
    <n v="82490748"/>
    <x v="488"/>
    <x v="0"/>
    <n v="26000000"/>
  </r>
  <r>
    <n v="791"/>
    <x v="785"/>
    <n v="10"/>
    <x v="6"/>
    <x v="36"/>
    <n v="19195"/>
    <x v="496"/>
    <s v="No"/>
    <n v="82465254"/>
    <x v="389"/>
    <x v="0"/>
    <n v="50000000"/>
  </r>
  <r>
    <n v="792"/>
    <x v="786"/>
    <n v="10"/>
    <x v="6"/>
    <x v="18"/>
    <n v="11755"/>
    <x v="497"/>
    <s v="No"/>
    <n v="82390774"/>
    <x v="697"/>
    <x v="0"/>
    <n v="17000000"/>
  </r>
  <r>
    <n v="793"/>
    <x v="787"/>
    <n v="10"/>
    <x v="6"/>
    <x v="33"/>
    <n v="18295"/>
    <x v="498"/>
    <s v="No"/>
    <n v="82304365"/>
    <x v="693"/>
    <x v="0"/>
    <n v="0"/>
  </r>
  <r>
    <n v="794"/>
    <x v="788"/>
    <n v="60"/>
    <x v="3"/>
    <x v="17"/>
    <n v="18925"/>
    <x v="499"/>
    <s v="No"/>
    <n v="82301521"/>
    <x v="217"/>
    <x v="0"/>
    <n v="65000000"/>
  </r>
  <r>
    <n v="795"/>
    <x v="789"/>
    <n v="80"/>
    <x v="0"/>
    <x v="52"/>
    <n v="19225"/>
    <x v="367"/>
    <s v="No"/>
    <n v="82258456"/>
    <x v="698"/>
    <x v="0"/>
    <n v="35000000"/>
  </r>
  <r>
    <n v="796"/>
    <x v="790"/>
    <n v="40"/>
    <x v="4"/>
    <x v="19"/>
    <n v="14665"/>
    <x v="500"/>
    <s v="No"/>
    <n v="82234139"/>
    <x v="699"/>
    <x v="0"/>
    <n v="25000000"/>
  </r>
  <r>
    <n v="797"/>
    <x v="791"/>
    <n v="50"/>
    <x v="1"/>
    <x v="10"/>
    <n v="18265"/>
    <x v="501"/>
    <s v="Yes"/>
    <n v="82226474"/>
    <x v="700"/>
    <x v="0"/>
    <n v="80000000"/>
  </r>
  <r>
    <n v="798"/>
    <x v="792"/>
    <n v="40"/>
    <x v="4"/>
    <x v="19"/>
    <n v="13045"/>
    <x v="502"/>
    <s v="No"/>
    <n v="82195215"/>
    <x v="701"/>
    <x v="0"/>
    <n v="150000000"/>
  </r>
  <r>
    <n v="799"/>
    <x v="793"/>
    <n v="10"/>
    <x v="6"/>
    <x v="24"/>
    <n v="13120"/>
    <x v="6"/>
    <s v="No"/>
    <n v="82115403"/>
    <x v="702"/>
    <x v="0"/>
    <n v="0"/>
  </r>
  <r>
    <n v="800"/>
    <x v="794"/>
    <n v="90"/>
    <x v="2"/>
    <x v="14"/>
    <n v="18565"/>
    <x v="503"/>
    <s v="Yes"/>
    <n v="81676888"/>
    <x v="703"/>
    <x v="0"/>
    <n v="54000000"/>
  </r>
  <r>
    <n v="801"/>
    <x v="795"/>
    <n v="10"/>
    <x v="6"/>
    <x v="10"/>
    <n v="16300"/>
    <x v="504"/>
    <s v="No"/>
    <n v="81612565"/>
    <x v="580"/>
    <x v="0"/>
    <n v="178000000"/>
  </r>
  <r>
    <n v="802"/>
    <x v="796"/>
    <n v="10"/>
    <x v="6"/>
    <x v="48"/>
    <n v="12295"/>
    <x v="371"/>
    <s v="No"/>
    <n v="81600000"/>
    <x v="387"/>
    <x v="0"/>
    <n v="40000000"/>
  </r>
  <r>
    <n v="803"/>
    <x v="797"/>
    <n v="20"/>
    <x v="5"/>
    <x v="12"/>
    <n v="11380"/>
    <x v="87"/>
    <s v="No"/>
    <n v="81562942"/>
    <x v="704"/>
    <x v="0"/>
    <n v="95000000"/>
  </r>
  <r>
    <n v="804"/>
    <x v="798"/>
    <n v="10"/>
    <x v="6"/>
    <x v="5"/>
    <n v="15865"/>
    <x v="88"/>
    <s v="No"/>
    <n v="81526121"/>
    <x v="705"/>
    <x v="0"/>
    <n v="50000000"/>
  </r>
  <r>
    <n v="805"/>
    <x v="799"/>
    <n v="50"/>
    <x v="1"/>
    <x v="5"/>
    <n v="15685"/>
    <x v="112"/>
    <s v="No"/>
    <n v="81292135"/>
    <x v="706"/>
    <x v="0"/>
    <n v="0"/>
  </r>
  <r>
    <n v="806"/>
    <x v="800"/>
    <n v="40"/>
    <x v="4"/>
    <x v="2"/>
    <n v="15565"/>
    <x v="72"/>
    <s v="Yes"/>
    <n v="81284830"/>
    <x v="707"/>
    <x v="0"/>
    <n v="0"/>
  </r>
  <r>
    <n v="807"/>
    <x v="801"/>
    <n v="10"/>
    <x v="6"/>
    <x v="16"/>
    <n v="13405"/>
    <x v="505"/>
    <s v="No"/>
    <n v="81261177"/>
    <x v="708"/>
    <x v="0"/>
    <n v="20000000"/>
  </r>
  <r>
    <n v="808"/>
    <x v="802"/>
    <n v="10"/>
    <x v="6"/>
    <x v="29"/>
    <n v="18220"/>
    <x v="506"/>
    <s v="No"/>
    <n v="81198894"/>
    <x v="527"/>
    <x v="0"/>
    <n v="30000000"/>
  </r>
  <r>
    <n v="809"/>
    <x v="803"/>
    <n v="80"/>
    <x v="0"/>
    <x v="4"/>
    <n v="12190"/>
    <x v="507"/>
    <s v="No"/>
    <n v="81168265"/>
    <x v="709"/>
    <x v="0"/>
    <n v="82500000"/>
  </r>
  <r>
    <n v="810"/>
    <x v="804"/>
    <n v="10"/>
    <x v="6"/>
    <x v="4"/>
    <n v="13435"/>
    <x v="508"/>
    <s v="No"/>
    <n v="81159365"/>
    <x v="710"/>
    <x v="0"/>
    <n v="35000000"/>
  </r>
  <r>
    <n v="811"/>
    <x v="805"/>
    <n v="60"/>
    <x v="3"/>
    <x v="14"/>
    <n v="11680"/>
    <x v="509"/>
    <s v="No"/>
    <n v="81150692"/>
    <x v="309"/>
    <x v="0"/>
    <n v="14000000"/>
  </r>
  <r>
    <n v="812"/>
    <x v="806"/>
    <n v="10"/>
    <x v="6"/>
    <x v="36"/>
    <n v="16870"/>
    <x v="510"/>
    <s v="No"/>
    <n v="81052361"/>
    <x v="611"/>
    <x v="0"/>
    <n v="0"/>
  </r>
  <r>
    <n v="813"/>
    <x v="807"/>
    <n v="10"/>
    <x v="6"/>
    <x v="7"/>
    <n v="17635"/>
    <x v="511"/>
    <s v="No"/>
    <n v="81001787"/>
    <x v="655"/>
    <x v="0"/>
    <n v="45000000"/>
  </r>
  <r>
    <n v="814"/>
    <x v="808"/>
    <n v="10"/>
    <x v="6"/>
    <x v="36"/>
    <n v="12385"/>
    <x v="482"/>
    <s v="No"/>
    <n v="80998938"/>
    <x v="711"/>
    <x v="0"/>
    <n v="50000000"/>
  </r>
  <r>
    <n v="815"/>
    <x v="809"/>
    <n v="60"/>
    <x v="3"/>
    <x v="20"/>
    <n v="10870"/>
    <x v="435"/>
    <s v="No"/>
    <n v="80936232"/>
    <x v="712"/>
    <x v="0"/>
    <n v="0"/>
  </r>
  <r>
    <n v="816"/>
    <x v="810"/>
    <n v="80"/>
    <x v="0"/>
    <x v="52"/>
    <n v="19255"/>
    <x v="512"/>
    <s v="No"/>
    <n v="80930630"/>
    <x v="713"/>
    <x v="0"/>
    <n v="9000000"/>
  </r>
  <r>
    <n v="817"/>
    <x v="811"/>
    <n v="10"/>
    <x v="6"/>
    <x v="28"/>
    <n v="14140"/>
    <x v="513"/>
    <s v="No"/>
    <n v="80803852"/>
    <x v="154"/>
    <x v="0"/>
    <n v="140000000"/>
  </r>
  <r>
    <n v="818"/>
    <x v="812"/>
    <n v="10"/>
    <x v="6"/>
    <x v="40"/>
    <n v="17305"/>
    <x v="514"/>
    <s v="No"/>
    <n v="80639179"/>
    <x v="714"/>
    <x v="0"/>
    <n v="28000000"/>
  </r>
  <r>
    <n v="819"/>
    <x v="813"/>
    <n v="10"/>
    <x v="6"/>
    <x v="12"/>
    <n v="14530"/>
    <x v="210"/>
    <s v="No"/>
    <n v="80574010"/>
    <x v="715"/>
    <x v="0"/>
    <n v="60000000"/>
  </r>
  <r>
    <n v="820"/>
    <x v="814"/>
    <n v="80"/>
    <x v="0"/>
    <x v="2"/>
    <n v="12370"/>
    <x v="387"/>
    <s v="Yes"/>
    <n v="80545201"/>
    <x v="716"/>
    <x v="0"/>
    <n v="61000000"/>
  </r>
  <r>
    <n v="821"/>
    <x v="815"/>
    <n v="50"/>
    <x v="1"/>
    <x v="53"/>
    <n v="16765"/>
    <x v="515"/>
    <s v="No"/>
    <n v="80500000"/>
    <x v="283"/>
    <x v="0"/>
    <n v="14000000"/>
  </r>
  <r>
    <n v="822"/>
    <x v="816"/>
    <n v="50"/>
    <x v="1"/>
    <x v="16"/>
    <n v="14110"/>
    <x v="516"/>
    <s v="No"/>
    <n v="80390022"/>
    <x v="717"/>
    <x v="0"/>
    <n v="75000000"/>
  </r>
  <r>
    <n v="823"/>
    <x v="817"/>
    <n v="40"/>
    <x v="4"/>
    <x v="12"/>
    <n v="10015"/>
    <x v="180"/>
    <s v="No"/>
    <n v="80360866"/>
    <x v="718"/>
    <x v="0"/>
    <n v="80000000"/>
  </r>
  <r>
    <n v="824"/>
    <x v="818"/>
    <n v="80"/>
    <x v="0"/>
    <x v="7"/>
    <n v="18850"/>
    <x v="517"/>
    <s v="No"/>
    <n v="80281096"/>
    <x v="719"/>
    <x v="0"/>
    <n v="70000000"/>
  </r>
  <r>
    <n v="825"/>
    <x v="819"/>
    <n v="10"/>
    <x v="6"/>
    <x v="4"/>
    <n v="11140"/>
    <x v="403"/>
    <s v="No"/>
    <n v="80277646"/>
    <x v="720"/>
    <x v="0"/>
    <n v="35000000"/>
  </r>
  <r>
    <n v="826"/>
    <x v="820"/>
    <n v="10"/>
    <x v="6"/>
    <x v="17"/>
    <n v="15400"/>
    <x v="518"/>
    <s v="No"/>
    <n v="80270227"/>
    <x v="391"/>
    <x v="0"/>
    <n v="65000000"/>
  </r>
  <r>
    <n v="827"/>
    <x v="821"/>
    <n v="10"/>
    <x v="6"/>
    <x v="10"/>
    <n v="18700"/>
    <x v="198"/>
    <s v="Yes"/>
    <n v="80238724"/>
    <x v="721"/>
    <x v="0"/>
    <n v="10000000"/>
  </r>
  <r>
    <n v="828"/>
    <x v="822"/>
    <n v="50"/>
    <x v="1"/>
    <x v="31"/>
    <n v="12310"/>
    <x v="519"/>
    <s v="No"/>
    <n v="80224502"/>
    <x v="139"/>
    <x v="0"/>
    <n v="40000000"/>
  </r>
  <r>
    <n v="829"/>
    <x v="823"/>
    <n v="10"/>
    <x v="6"/>
    <x v="10"/>
    <n v="13405"/>
    <x v="505"/>
    <s v="No"/>
    <n v="80197993"/>
    <x v="646"/>
    <x v="0"/>
    <n v="30000000"/>
  </r>
  <r>
    <n v="830"/>
    <x v="824"/>
    <n v="10"/>
    <x v="6"/>
    <x v="19"/>
    <n v="15670"/>
    <x v="520"/>
    <s v="No"/>
    <n v="80106701"/>
    <x v="460"/>
    <x v="0"/>
    <n v="30000000"/>
  </r>
  <r>
    <n v="831"/>
    <x v="825"/>
    <n v="10"/>
    <x v="6"/>
    <x v="3"/>
    <n v="18745"/>
    <x v="82"/>
    <s v="No"/>
    <n v="80070736"/>
    <x v="722"/>
    <x v="0"/>
    <n v="60000000"/>
  </r>
  <r>
    <n v="832"/>
    <x v="826"/>
    <n v="80"/>
    <x v="0"/>
    <x v="4"/>
    <n v="18400"/>
    <x v="521"/>
    <s v="No"/>
    <n v="80048433"/>
    <x v="723"/>
    <x v="0"/>
    <n v="25000000"/>
  </r>
  <r>
    <n v="833"/>
    <x v="827"/>
    <n v="10"/>
    <x v="6"/>
    <x v="24"/>
    <n v="18670"/>
    <x v="522"/>
    <s v="Yes"/>
    <n v="80047413"/>
    <x v="650"/>
    <x v="0"/>
    <n v="0"/>
  </r>
  <r>
    <n v="834"/>
    <x v="828"/>
    <n v="10"/>
    <x v="6"/>
    <x v="12"/>
    <n v="17875"/>
    <x v="523"/>
    <s v="No"/>
    <n v="80014842"/>
    <x v="724"/>
    <x v="0"/>
    <n v="25000000"/>
  </r>
  <r>
    <n v="835"/>
    <x v="829"/>
    <n v="20"/>
    <x v="5"/>
    <x v="58"/>
    <n v="11320"/>
    <x v="524"/>
    <s v="No"/>
    <n v="80000000"/>
    <x v="706"/>
    <x v="0"/>
    <n v="0"/>
  </r>
  <r>
    <n v="836"/>
    <x v="830"/>
    <n v="10"/>
    <x v="6"/>
    <x v="0"/>
    <n v="11695"/>
    <x v="525"/>
    <s v="No"/>
    <n v="79957634"/>
    <x v="592"/>
    <x v="0"/>
    <n v="50000000"/>
  </r>
  <r>
    <n v="837"/>
    <x v="831"/>
    <n v="10"/>
    <x v="6"/>
    <x v="13"/>
    <n v="14050"/>
    <x v="526"/>
    <s v="No"/>
    <n v="79883359"/>
    <x v="725"/>
    <x v="0"/>
    <n v="70000000"/>
  </r>
  <r>
    <n v="838"/>
    <x v="832"/>
    <n v="40"/>
    <x v="4"/>
    <x v="13"/>
    <n v="14350"/>
    <x v="12"/>
    <s v="No"/>
    <n v="79727149"/>
    <x v="726"/>
    <x v="0"/>
    <n v="150000000"/>
  </r>
  <r>
    <n v="839"/>
    <x v="833"/>
    <n v="80"/>
    <x v="0"/>
    <x v="46"/>
    <n v="17170"/>
    <x v="527"/>
    <s v="No"/>
    <n v="79700000"/>
    <x v="556"/>
    <x v="0"/>
    <n v="80000000"/>
  </r>
  <r>
    <n v="840"/>
    <x v="834"/>
    <n v="10"/>
    <x v="6"/>
    <x v="0"/>
    <n v="10585"/>
    <x v="528"/>
    <s v="No"/>
    <n v="79559647"/>
    <x v="727"/>
    <x v="0"/>
    <n v="30000000"/>
  </r>
  <r>
    <n v="841"/>
    <x v="835"/>
    <n v="80"/>
    <x v="0"/>
    <x v="4"/>
    <n v="10990"/>
    <x v="529"/>
    <s v="No"/>
    <n v="79366978"/>
    <x v="728"/>
    <x v="0"/>
    <n v="80000000"/>
  </r>
  <r>
    <n v="842"/>
    <x v="836"/>
    <n v="80"/>
    <x v="0"/>
    <x v="12"/>
    <n v="10945"/>
    <x v="29"/>
    <s v="No"/>
    <n v="79249455"/>
    <x v="729"/>
    <x v="0"/>
    <n v="27000000"/>
  </r>
  <r>
    <n v="843"/>
    <x v="837"/>
    <n v="50"/>
    <x v="1"/>
    <x v="32"/>
    <n v="15910"/>
    <x v="232"/>
    <s v="No"/>
    <n v="79096868"/>
    <x v="730"/>
    <x v="1"/>
    <n v="31000000"/>
  </r>
  <r>
    <n v="844"/>
    <x v="838"/>
    <n v="10"/>
    <x v="6"/>
    <x v="30"/>
    <n v="12760"/>
    <x v="530"/>
    <s v="No"/>
    <n v="79091969"/>
    <x v="731"/>
    <x v="0"/>
    <n v="35000000"/>
  </r>
  <r>
    <n v="845"/>
    <x v="839"/>
    <n v="50"/>
    <x v="1"/>
    <x v="30"/>
    <n v="16435"/>
    <x v="166"/>
    <s v="No"/>
    <n v="78874364"/>
    <x v="522"/>
    <x v="0"/>
    <n v="0"/>
  </r>
  <r>
    <n v="846"/>
    <x v="840"/>
    <n v="50"/>
    <x v="1"/>
    <x v="52"/>
    <n v="13480"/>
    <x v="531"/>
    <s v="No"/>
    <n v="78800000"/>
    <x v="732"/>
    <x v="0"/>
    <n v="0"/>
  </r>
  <r>
    <n v="847"/>
    <x v="841"/>
    <n v="10"/>
    <x v="6"/>
    <x v="24"/>
    <n v="16825"/>
    <x v="532"/>
    <s v="No"/>
    <n v="78771268"/>
    <x v="733"/>
    <x v="0"/>
    <n v="60000000"/>
  </r>
  <r>
    <n v="848"/>
    <x v="842"/>
    <n v="80"/>
    <x v="0"/>
    <x v="9"/>
    <n v="10015"/>
    <x v="180"/>
    <s v="No"/>
    <n v="78747585"/>
    <x v="734"/>
    <x v="0"/>
    <n v="90000000"/>
  </r>
  <r>
    <n v="849"/>
    <x v="843"/>
    <n v="40"/>
    <x v="4"/>
    <x v="31"/>
    <n v="17395"/>
    <x v="533"/>
    <s v="No"/>
    <n v="78745923"/>
    <x v="454"/>
    <x v="0"/>
    <n v="55000000"/>
  </r>
  <r>
    <n v="850"/>
    <x v="844"/>
    <n v="50"/>
    <x v="1"/>
    <x v="22"/>
    <n v="16405"/>
    <x v="534"/>
    <s v="No"/>
    <n v="78651430"/>
    <x v="735"/>
    <x v="1"/>
    <n v="35000000"/>
  </r>
  <r>
    <n v="851"/>
    <x v="845"/>
    <n v="80"/>
    <x v="0"/>
    <x v="8"/>
    <n v="19225"/>
    <x v="367"/>
    <s v="Yes"/>
    <n v="78633541"/>
    <x v="83"/>
    <x v="0"/>
    <n v="140000000"/>
  </r>
  <r>
    <n v="852"/>
    <x v="846"/>
    <n v="80"/>
    <x v="0"/>
    <x v="20"/>
    <n v="15925"/>
    <x v="535"/>
    <s v="No"/>
    <n v="78616689"/>
    <x v="736"/>
    <x v="0"/>
    <n v="90000000"/>
  </r>
  <r>
    <n v="853"/>
    <x v="847"/>
    <n v="10"/>
    <x v="6"/>
    <x v="40"/>
    <n v="15340"/>
    <x v="536"/>
    <s v="No"/>
    <n v="78222753"/>
    <x v="723"/>
    <x v="0"/>
    <n v="25000000"/>
  </r>
  <r>
    <n v="854"/>
    <x v="848"/>
    <n v="40"/>
    <x v="4"/>
    <x v="33"/>
    <n v="10750"/>
    <x v="537"/>
    <s v="No"/>
    <n v="78142084"/>
    <x v="737"/>
    <x v="0"/>
    <n v="40000000"/>
  </r>
  <r>
    <n v="855"/>
    <x v="849"/>
    <n v="20"/>
    <x v="5"/>
    <x v="14"/>
    <n v="15865"/>
    <x v="88"/>
    <s v="No"/>
    <n v="78120196"/>
    <x v="429"/>
    <x v="0"/>
    <n v="20000000"/>
  </r>
  <r>
    <n v="856"/>
    <x v="850"/>
    <n v="10"/>
    <x v="6"/>
    <x v="13"/>
    <n v="10660"/>
    <x v="52"/>
    <s v="No"/>
    <n v="78046570"/>
    <x v="738"/>
    <x v="0"/>
    <n v="85000000"/>
  </r>
  <r>
    <n v="857"/>
    <x v="851"/>
    <n v="50"/>
    <x v="1"/>
    <x v="9"/>
    <n v="12925"/>
    <x v="55"/>
    <s v="No"/>
    <n v="78031620"/>
    <x v="739"/>
    <x v="0"/>
    <n v="70000000"/>
  </r>
  <r>
    <n v="858"/>
    <x v="852"/>
    <n v="10"/>
    <x v="6"/>
    <x v="7"/>
    <n v="12115"/>
    <x v="290"/>
    <s v="No"/>
    <n v="77906816"/>
    <x v="740"/>
    <x v="0"/>
    <n v="60000000"/>
  </r>
  <r>
    <n v="859"/>
    <x v="853"/>
    <n v="10"/>
    <x v="6"/>
    <x v="30"/>
    <n v="13435"/>
    <x v="508"/>
    <s v="No"/>
    <n v="77868585"/>
    <x v="741"/>
    <x v="0"/>
    <n v="0"/>
  </r>
  <r>
    <n v="860"/>
    <x v="854"/>
    <n v="50"/>
    <x v="1"/>
    <x v="14"/>
    <n v="12670"/>
    <x v="538"/>
    <s v="No"/>
    <n v="77730500"/>
    <x v="742"/>
    <x v="0"/>
    <n v="97000000"/>
  </r>
  <r>
    <n v="861"/>
    <x v="855"/>
    <n v="10"/>
    <x v="6"/>
    <x v="15"/>
    <n v="13810"/>
    <x v="539"/>
    <s v="No"/>
    <n v="77698625"/>
    <x v="522"/>
    <x v="0"/>
    <n v="0"/>
  </r>
  <r>
    <n v="862"/>
    <x v="856"/>
    <n v="10"/>
    <x v="6"/>
    <x v="13"/>
    <n v="18880"/>
    <x v="540"/>
    <s v="No"/>
    <n v="77591831"/>
    <x v="75"/>
    <x v="0"/>
    <n v="110000000"/>
  </r>
  <r>
    <n v="863"/>
    <x v="857"/>
    <n v="10"/>
    <x v="6"/>
    <x v="27"/>
    <n v="17680"/>
    <x v="287"/>
    <s v="No"/>
    <n v="77568541"/>
    <x v="571"/>
    <x v="0"/>
    <n v="60000000"/>
  </r>
  <r>
    <n v="864"/>
    <x v="858"/>
    <n v="40"/>
    <x v="4"/>
    <x v="39"/>
    <n v="12400"/>
    <x v="301"/>
    <s v="No"/>
    <n v="77559863"/>
    <x v="337"/>
    <x v="0"/>
    <n v="7000000"/>
  </r>
  <r>
    <n v="865"/>
    <x v="859"/>
    <n v="30"/>
    <x v="7"/>
    <x v="17"/>
    <n v="16315"/>
    <x v="541"/>
    <s v="No"/>
    <n v="77437223"/>
    <x v="623"/>
    <x v="0"/>
    <n v="3400000"/>
  </r>
  <r>
    <n v="866"/>
    <x v="860"/>
    <n v="10"/>
    <x v="6"/>
    <x v="3"/>
    <n v="10855"/>
    <x v="50"/>
    <s v="No"/>
    <n v="77267296"/>
    <x v="607"/>
    <x v="0"/>
    <n v="5000000"/>
  </r>
  <r>
    <n v="867"/>
    <x v="861"/>
    <n v="40"/>
    <x v="4"/>
    <x v="0"/>
    <n v="11230"/>
    <x v="542"/>
    <s v="No"/>
    <n v="77233467"/>
    <x v="186"/>
    <x v="0"/>
    <n v="65000000"/>
  </r>
  <r>
    <n v="868"/>
    <x v="862"/>
    <n v="10"/>
    <x v="6"/>
    <x v="12"/>
    <n v="14110"/>
    <x v="516"/>
    <s v="No"/>
    <n v="77222099"/>
    <x v="75"/>
    <x v="0"/>
    <n v="110000000"/>
  </r>
  <r>
    <n v="869"/>
    <x v="863"/>
    <n v="50"/>
    <x v="1"/>
    <x v="25"/>
    <n v="15805"/>
    <x v="137"/>
    <s v="No"/>
    <n v="77086030"/>
    <x v="627"/>
    <x v="0"/>
    <n v="60000000"/>
  </r>
  <r>
    <n v="870"/>
    <x v="864"/>
    <n v="20"/>
    <x v="5"/>
    <x v="7"/>
    <n v="18760"/>
    <x v="71"/>
    <s v="No"/>
    <n v="77073959"/>
    <x v="717"/>
    <x v="0"/>
    <n v="75000000"/>
  </r>
  <r>
    <n v="871"/>
    <x v="865"/>
    <n v="10"/>
    <x v="6"/>
    <x v="41"/>
    <n v="16465"/>
    <x v="94"/>
    <s v="No"/>
    <n v="77051120"/>
    <x v="743"/>
    <x v="0"/>
    <n v="31000000"/>
  </r>
  <r>
    <n v="872"/>
    <x v="866"/>
    <n v="10"/>
    <x v="6"/>
    <x v="4"/>
    <n v="11065"/>
    <x v="543"/>
    <s v="No"/>
    <n v="76806312"/>
    <x v="744"/>
    <x v="0"/>
    <n v="30000000"/>
  </r>
  <r>
    <n v="873"/>
    <x v="867"/>
    <n v="60"/>
    <x v="3"/>
    <x v="52"/>
    <n v="18265"/>
    <x v="501"/>
    <s v="No"/>
    <n v="76657000"/>
    <x v="549"/>
    <x v="0"/>
    <n v="175000000"/>
  </r>
  <r>
    <n v="874"/>
    <x v="868"/>
    <n v="10"/>
    <x v="6"/>
    <x v="36"/>
    <n v="16900"/>
    <x v="456"/>
    <s v="Yes"/>
    <n v="76578911"/>
    <x v="283"/>
    <x v="0"/>
    <n v="14000000"/>
  </r>
  <r>
    <n v="875"/>
    <x v="869"/>
    <n v="10"/>
    <x v="6"/>
    <x v="15"/>
    <n v="12115"/>
    <x v="290"/>
    <s v="No"/>
    <n v="76512063"/>
    <x v="677"/>
    <x v="0"/>
    <n v="26000000"/>
  </r>
  <r>
    <n v="876"/>
    <x v="870"/>
    <n v="60"/>
    <x v="3"/>
    <x v="25"/>
    <n v="14245"/>
    <x v="400"/>
    <s v="No"/>
    <n v="76501438"/>
    <x v="745"/>
    <x v="0"/>
    <n v="14500000"/>
  </r>
  <r>
    <n v="877"/>
    <x v="871"/>
    <n v="10"/>
    <x v="6"/>
    <x v="12"/>
    <n v="18745"/>
    <x v="82"/>
    <s v="No"/>
    <n v="76423035"/>
    <x v="746"/>
    <x v="0"/>
    <n v="117000000"/>
  </r>
  <r>
    <n v="878"/>
    <x v="872"/>
    <n v="40"/>
    <x v="4"/>
    <x v="30"/>
    <n v="12040"/>
    <x v="544"/>
    <s v="Yes"/>
    <n v="76323571"/>
    <x v="173"/>
    <x v="0"/>
    <n v="13500000"/>
  </r>
  <r>
    <n v="879"/>
    <x v="873"/>
    <n v="10"/>
    <x v="6"/>
    <x v="20"/>
    <n v="12115"/>
    <x v="290"/>
    <s v="No"/>
    <n v="76261036"/>
    <x v="406"/>
    <x v="0"/>
    <n v="48000000"/>
  </r>
  <r>
    <n v="880"/>
    <x v="874"/>
    <n v="10"/>
    <x v="6"/>
    <x v="33"/>
    <n v="19240"/>
    <x v="545"/>
    <s v="No"/>
    <n v="76253806"/>
    <x v="747"/>
    <x v="0"/>
    <n v="150000000"/>
  </r>
  <r>
    <n v="881"/>
    <x v="875"/>
    <n v="60"/>
    <x v="3"/>
    <x v="18"/>
    <n v="13255"/>
    <x v="546"/>
    <s v="No"/>
    <n v="76223578"/>
    <x v="748"/>
    <x v="0"/>
    <n v="55000000"/>
  </r>
  <r>
    <n v="882"/>
    <x v="876"/>
    <n v="10"/>
    <x v="6"/>
    <x v="1"/>
    <n v="18250"/>
    <x v="547"/>
    <s v="No"/>
    <n v="76081498"/>
    <x v="749"/>
    <x v="0"/>
    <n v="80000000"/>
  </r>
  <r>
    <n v="883"/>
    <x v="877"/>
    <n v="10"/>
    <x v="6"/>
    <x v="17"/>
    <n v="16375"/>
    <x v="275"/>
    <s v="Yes"/>
    <n v="75941727"/>
    <x v="750"/>
    <x v="0"/>
    <n v="50000000"/>
  </r>
  <r>
    <n v="884"/>
    <x v="878"/>
    <n v="10"/>
    <x v="6"/>
    <x v="8"/>
    <n v="13480"/>
    <x v="531"/>
    <s v="No"/>
    <n v="75936265"/>
    <x v="751"/>
    <x v="0"/>
    <n v="175000000"/>
  </r>
  <r>
    <n v="885"/>
    <x v="879"/>
    <n v="80"/>
    <x v="0"/>
    <x v="32"/>
    <n v="13585"/>
    <x v="123"/>
    <s v="No"/>
    <n v="75901168"/>
    <x v="723"/>
    <x v="0"/>
    <n v="25000000"/>
  </r>
  <r>
    <n v="886"/>
    <x v="880"/>
    <n v="10"/>
    <x v="6"/>
    <x v="29"/>
    <n v="15355"/>
    <x v="548"/>
    <s v="No"/>
    <n v="75846770"/>
    <x v="752"/>
    <x v="0"/>
    <n v="65000000"/>
  </r>
  <r>
    <n v="887"/>
    <x v="881"/>
    <n v="60"/>
    <x v="3"/>
    <x v="16"/>
    <n v="15610"/>
    <x v="549"/>
    <s v="No"/>
    <n v="75817994"/>
    <x v="753"/>
    <x v="0"/>
    <n v="90000000"/>
  </r>
  <r>
    <n v="888"/>
    <x v="882"/>
    <n v="90"/>
    <x v="2"/>
    <x v="4"/>
    <n v="17905"/>
    <x v="550"/>
    <s v="Yes"/>
    <n v="75791785"/>
    <x v="754"/>
    <x v="0"/>
    <n v="82500000"/>
  </r>
  <r>
    <n v="889"/>
    <x v="883"/>
    <n v="10"/>
    <x v="6"/>
    <x v="14"/>
    <n v="18835"/>
    <x v="551"/>
    <s v="No"/>
    <n v="75781642"/>
    <x v="542"/>
    <x v="0"/>
    <n v="0"/>
  </r>
  <r>
    <n v="890"/>
    <x v="884"/>
    <n v="10"/>
    <x v="6"/>
    <x v="25"/>
    <n v="10195"/>
    <x v="552"/>
    <s v="No"/>
    <n v="75764085"/>
    <x v="755"/>
    <x v="0"/>
    <n v="100000000"/>
  </r>
  <r>
    <n v="891"/>
    <x v="885"/>
    <n v="20"/>
    <x v="5"/>
    <x v="41"/>
    <n v="17320"/>
    <x v="553"/>
    <s v="No"/>
    <n v="75729280"/>
    <x v="652"/>
    <x v="0"/>
    <n v="38000000"/>
  </r>
  <r>
    <n v="892"/>
    <x v="886"/>
    <n v="80"/>
    <x v="0"/>
    <x v="13"/>
    <n v="13075"/>
    <x v="35"/>
    <s v="No"/>
    <n v="75658097"/>
    <x v="756"/>
    <x v="0"/>
    <n v="60000000"/>
  </r>
  <r>
    <n v="893"/>
    <x v="887"/>
    <n v="10"/>
    <x v="6"/>
    <x v="10"/>
    <n v="15700"/>
    <x v="554"/>
    <s v="No"/>
    <n v="75628110"/>
    <x v="585"/>
    <x v="0"/>
    <n v="90000000"/>
  </r>
  <r>
    <n v="894"/>
    <x v="888"/>
    <n v="20"/>
    <x v="5"/>
    <x v="13"/>
    <n v="15685"/>
    <x v="112"/>
    <s v="No"/>
    <n v="75624550"/>
    <x v="429"/>
    <x v="0"/>
    <n v="20000000"/>
  </r>
  <r>
    <n v="895"/>
    <x v="889"/>
    <n v="10"/>
    <x v="6"/>
    <x v="3"/>
    <n v="12115"/>
    <x v="290"/>
    <s v="No"/>
    <n v="75612460"/>
    <x v="757"/>
    <x v="0"/>
    <n v="61000000"/>
  </r>
  <r>
    <n v="896"/>
    <x v="890"/>
    <n v="20"/>
    <x v="5"/>
    <x v="12"/>
    <n v="10930"/>
    <x v="120"/>
    <s v="No"/>
    <n v="75605492"/>
    <x v="758"/>
    <x v="0"/>
    <n v="65000000"/>
  </r>
  <r>
    <n v="897"/>
    <x v="891"/>
    <n v="10"/>
    <x v="6"/>
    <x v="14"/>
    <n v="12100"/>
    <x v="555"/>
    <s v="No"/>
    <n v="75600072"/>
    <x v="181"/>
    <x v="0"/>
    <n v="1200000"/>
  </r>
  <r>
    <n v="898"/>
    <x v="892"/>
    <n v="40"/>
    <x v="4"/>
    <x v="0"/>
    <n v="19240"/>
    <x v="545"/>
    <s v="No"/>
    <n v="75590286"/>
    <x v="604"/>
    <x v="0"/>
    <n v="52500000"/>
  </r>
  <r>
    <n v="899"/>
    <x v="893"/>
    <n v="20"/>
    <x v="5"/>
    <x v="36"/>
    <n v="12010"/>
    <x v="266"/>
    <s v="No"/>
    <n v="75545647"/>
    <x v="759"/>
    <x v="1"/>
    <n v="72000000"/>
  </r>
  <r>
    <n v="900"/>
    <x v="894"/>
    <n v="10"/>
    <x v="6"/>
    <x v="5"/>
    <n v="10240"/>
    <x v="556"/>
    <s v="No"/>
    <n v="75530832"/>
    <x v="639"/>
    <x v="0"/>
    <n v="60000000"/>
  </r>
  <r>
    <n v="901"/>
    <x v="895"/>
    <n v="80"/>
    <x v="0"/>
    <x v="11"/>
    <n v="11050"/>
    <x v="557"/>
    <s v="Yes"/>
    <n v="75510568"/>
    <x v="632"/>
    <x v="0"/>
    <n v="46000000"/>
  </r>
  <r>
    <n v="902"/>
    <x v="896"/>
    <n v="10"/>
    <x v="6"/>
    <x v="17"/>
    <n v="15115"/>
    <x v="558"/>
    <s v="No"/>
    <n v="75500759"/>
    <x v="760"/>
    <x v="0"/>
    <n v="75000000"/>
  </r>
  <r>
    <n v="903"/>
    <x v="897"/>
    <n v="10"/>
    <x v="6"/>
    <x v="31"/>
    <n v="14080"/>
    <x v="559"/>
    <s v="No"/>
    <n v="75370763"/>
    <x v="761"/>
    <x v="0"/>
    <n v="60000000"/>
  </r>
  <r>
    <n v="904"/>
    <x v="898"/>
    <n v="10"/>
    <x v="6"/>
    <x v="7"/>
    <n v="11020"/>
    <x v="560"/>
    <s v="No"/>
    <n v="75367693"/>
    <x v="762"/>
    <x v="0"/>
    <n v="50000000"/>
  </r>
  <r>
    <n v="905"/>
    <x v="899"/>
    <n v="20"/>
    <x v="5"/>
    <x v="7"/>
    <n v="13735"/>
    <x v="191"/>
    <s v="No"/>
    <n v="75305995"/>
    <x v="145"/>
    <x v="0"/>
    <n v="150000000"/>
  </r>
  <r>
    <n v="906"/>
    <x v="900"/>
    <n v="60"/>
    <x v="3"/>
    <x v="0"/>
    <n v="17260"/>
    <x v="561"/>
    <s v="No"/>
    <n v="75286229"/>
    <x v="763"/>
    <x v="0"/>
    <n v="14000000"/>
  </r>
  <r>
    <n v="907"/>
    <x v="901"/>
    <n v="10"/>
    <x v="6"/>
    <x v="16"/>
    <n v="15385"/>
    <x v="562"/>
    <s v="No"/>
    <n v="75155000"/>
    <x v="764"/>
    <x v="0"/>
    <n v="27500000"/>
  </r>
  <r>
    <n v="908"/>
    <x v="902"/>
    <n v="10"/>
    <x v="6"/>
    <x v="29"/>
    <n v="15985"/>
    <x v="299"/>
    <s v="No"/>
    <n v="75078260"/>
    <x v="407"/>
    <x v="0"/>
    <n v="0"/>
  </r>
  <r>
    <n v="909"/>
    <x v="903"/>
    <n v="20"/>
    <x v="5"/>
    <x v="17"/>
    <n v="13225"/>
    <x v="303"/>
    <s v="No"/>
    <n v="75072454"/>
    <x v="765"/>
    <x v="0"/>
    <n v="18000000"/>
  </r>
  <r>
    <n v="910"/>
    <x v="904"/>
    <n v="40"/>
    <x v="4"/>
    <x v="10"/>
    <n v="12880"/>
    <x v="563"/>
    <s v="No"/>
    <n v="75030163"/>
    <x v="766"/>
    <x v="0"/>
    <n v="100000000"/>
  </r>
  <r>
    <n v="911"/>
    <x v="905"/>
    <n v="80"/>
    <x v="0"/>
    <x v="30"/>
    <n v="19225"/>
    <x v="367"/>
    <s v="Yes"/>
    <n v="74888996"/>
    <x v="112"/>
    <x v="0"/>
    <n v="190000000"/>
  </r>
  <r>
    <n v="912"/>
    <x v="906"/>
    <n v="10"/>
    <x v="6"/>
    <x v="30"/>
    <n v="10570"/>
    <x v="564"/>
    <s v="No"/>
    <n v="74787599"/>
    <x v="560"/>
    <x v="0"/>
    <n v="60000000"/>
  </r>
  <r>
    <n v="913"/>
    <x v="907"/>
    <n v="40"/>
    <x v="4"/>
    <x v="8"/>
    <n v="11650"/>
    <x v="394"/>
    <s v="No"/>
    <n v="74706019"/>
    <x v="527"/>
    <x v="0"/>
    <n v="30000000"/>
  </r>
  <r>
    <n v="914"/>
    <x v="908"/>
    <n v="10"/>
    <x v="6"/>
    <x v="7"/>
    <n v="10555"/>
    <x v="565"/>
    <s v="No"/>
    <n v="74541707"/>
    <x v="623"/>
    <x v="0"/>
    <n v="3400000"/>
  </r>
  <r>
    <n v="915"/>
    <x v="909"/>
    <n v="10"/>
    <x v="6"/>
    <x v="17"/>
    <n v="18445"/>
    <x v="157"/>
    <s v="No"/>
    <n v="74494381"/>
    <x v="38"/>
    <x v="0"/>
    <n v="55000000"/>
  </r>
  <r>
    <n v="916"/>
    <x v="910"/>
    <n v="80"/>
    <x v="0"/>
    <x v="21"/>
    <n v="15745"/>
    <x v="254"/>
    <s v="No"/>
    <n v="74433837"/>
    <x v="108"/>
    <x v="0"/>
    <n v="132000000"/>
  </r>
  <r>
    <n v="917"/>
    <x v="911"/>
    <n v="10"/>
    <x v="6"/>
    <x v="31"/>
    <n v="13120"/>
    <x v="6"/>
    <s v="No"/>
    <n v="74292149"/>
    <x v="767"/>
    <x v="0"/>
    <n v="80000000"/>
  </r>
  <r>
    <n v="918"/>
    <x v="912"/>
    <n v="50"/>
    <x v="1"/>
    <x v="19"/>
    <n v="13855"/>
    <x v="566"/>
    <s v="No"/>
    <n v="74273505"/>
    <x v="768"/>
    <x v="1"/>
    <n v="25000000"/>
  </r>
  <r>
    <n v="919"/>
    <x v="913"/>
    <n v="10"/>
    <x v="6"/>
    <x v="13"/>
    <n v="14740"/>
    <x v="567"/>
    <s v="No"/>
    <n v="74158157"/>
    <x v="769"/>
    <x v="0"/>
    <n v="79000000"/>
  </r>
  <r>
    <n v="920"/>
    <x v="914"/>
    <n v="40"/>
    <x v="4"/>
    <x v="17"/>
    <n v="11095"/>
    <x v="43"/>
    <s v="No"/>
    <n v="74103820"/>
    <x v="770"/>
    <x v="0"/>
    <n v="40000000"/>
  </r>
  <r>
    <n v="921"/>
    <x v="915"/>
    <n v="10"/>
    <x v="6"/>
    <x v="20"/>
    <n v="10405"/>
    <x v="568"/>
    <s v="No"/>
    <n v="74058698"/>
    <x v="671"/>
    <x v="0"/>
    <n v="17000000"/>
  </r>
  <r>
    <n v="922"/>
    <x v="916"/>
    <n v="40"/>
    <x v="4"/>
    <x v="59"/>
    <n v="13405"/>
    <x v="505"/>
    <s v="No"/>
    <n v="73923321"/>
    <x v="325"/>
    <x v="0"/>
    <n v="10000000"/>
  </r>
  <r>
    <n v="923"/>
    <x v="917"/>
    <n v="40"/>
    <x v="4"/>
    <x v="13"/>
    <n v="10645"/>
    <x v="569"/>
    <s v="No"/>
    <n v="73864507"/>
    <x v="771"/>
    <x v="0"/>
    <n v="180000000"/>
  </r>
  <r>
    <n v="924"/>
    <x v="918"/>
    <n v="10"/>
    <x v="6"/>
    <x v="7"/>
    <n v="11200"/>
    <x v="570"/>
    <s v="No"/>
    <n v="73701902"/>
    <x v="772"/>
    <x v="0"/>
    <n v="25000000"/>
  </r>
  <r>
    <n v="925"/>
    <x v="919"/>
    <n v="10"/>
    <x v="6"/>
    <x v="52"/>
    <n v="17230"/>
    <x v="571"/>
    <s v="No"/>
    <n v="73691419"/>
    <x v="773"/>
    <x v="0"/>
    <n v="60000000"/>
  </r>
  <r>
    <n v="926"/>
    <x v="920"/>
    <n v="60"/>
    <x v="3"/>
    <x v="10"/>
    <n v="16285"/>
    <x v="572"/>
    <s v="No"/>
    <n v="73661010"/>
    <x v="774"/>
    <x v="0"/>
    <n v="75000000"/>
  </r>
  <r>
    <n v="927"/>
    <x v="921"/>
    <n v="10"/>
    <x v="6"/>
    <x v="5"/>
    <n v="12580"/>
    <x v="573"/>
    <s v="No"/>
    <n v="73648228"/>
    <x v="775"/>
    <x v="0"/>
    <n v="60000000"/>
  </r>
  <r>
    <n v="928"/>
    <x v="922"/>
    <n v="10"/>
    <x v="6"/>
    <x v="2"/>
    <n v="17320"/>
    <x v="553"/>
    <s v="No"/>
    <n v="73565582"/>
    <x v="776"/>
    <x v="0"/>
    <n v="40000000"/>
  </r>
  <r>
    <n v="929"/>
    <x v="923"/>
    <n v="10"/>
    <x v="6"/>
    <x v="0"/>
    <n v="13780"/>
    <x v="574"/>
    <s v="No"/>
    <n v="73357727"/>
    <x v="777"/>
    <x v="0"/>
    <n v="53000000"/>
  </r>
  <r>
    <n v="930"/>
    <x v="924"/>
    <n v="40"/>
    <x v="4"/>
    <x v="40"/>
    <n v="15520"/>
    <x v="575"/>
    <s v="No"/>
    <n v="73326666"/>
    <x v="386"/>
    <x v="0"/>
    <n v="150000000"/>
  </r>
  <r>
    <n v="931"/>
    <x v="925"/>
    <n v="60"/>
    <x v="3"/>
    <x v="14"/>
    <n v="13570"/>
    <x v="576"/>
    <s v="No"/>
    <n v="73215310"/>
    <x v="34"/>
    <x v="0"/>
    <n v="258000000"/>
  </r>
  <r>
    <n v="932"/>
    <x v="926"/>
    <n v="80"/>
    <x v="0"/>
    <x v="25"/>
    <n v="14275"/>
    <x v="577"/>
    <s v="No"/>
    <n v="73209340"/>
    <x v="778"/>
    <x v="0"/>
    <n v="90000000"/>
  </r>
  <r>
    <n v="933"/>
    <x v="927"/>
    <n v="10"/>
    <x v="6"/>
    <x v="9"/>
    <n v="11290"/>
    <x v="331"/>
    <s v="No"/>
    <n v="73103784"/>
    <x v="747"/>
    <x v="0"/>
    <n v="150000000"/>
  </r>
  <r>
    <n v="934"/>
    <x v="928"/>
    <n v="80"/>
    <x v="0"/>
    <x v="13"/>
    <n v="18460"/>
    <x v="578"/>
    <s v="No"/>
    <n v="73058679"/>
    <x v="779"/>
    <x v="0"/>
    <n v="275000000"/>
  </r>
  <r>
    <n v="935"/>
    <x v="929"/>
    <n v="60"/>
    <x v="3"/>
    <x v="0"/>
    <n v="17440"/>
    <x v="579"/>
    <s v="No"/>
    <n v="73034460"/>
    <x v="780"/>
    <x v="0"/>
    <n v="0"/>
  </r>
  <r>
    <n v="936"/>
    <x v="930"/>
    <n v="10"/>
    <x v="6"/>
    <x v="12"/>
    <n v="17515"/>
    <x v="580"/>
    <s v="No"/>
    <n v="73026337"/>
    <x v="587"/>
    <x v="0"/>
    <n v="90000000"/>
  </r>
  <r>
    <n v="937"/>
    <x v="931"/>
    <n v="30"/>
    <x v="7"/>
    <x v="12"/>
    <n v="14620"/>
    <x v="581"/>
    <s v="No"/>
    <n v="73013910"/>
    <x v="540"/>
    <x v="0"/>
    <n v="80000000"/>
  </r>
  <r>
    <n v="938"/>
    <x v="932"/>
    <n v="50"/>
    <x v="1"/>
    <x v="60"/>
    <n v="17710"/>
    <x v="582"/>
    <s v="No"/>
    <n v="73000000"/>
    <x v="386"/>
    <x v="1"/>
    <n v="150000000"/>
  </r>
  <r>
    <n v="939"/>
    <x v="933"/>
    <n v="60"/>
    <x v="3"/>
    <x v="10"/>
    <n v="16930"/>
    <x v="583"/>
    <s v="No"/>
    <n v="72779000"/>
    <x v="542"/>
    <x v="0"/>
    <n v="0"/>
  </r>
  <r>
    <n v="940"/>
    <x v="934"/>
    <n v="30"/>
    <x v="7"/>
    <x v="10"/>
    <n v="11920"/>
    <x v="584"/>
    <s v="Yes"/>
    <n v="72778712"/>
    <x v="550"/>
    <x v="0"/>
    <n v="15000000"/>
  </r>
  <r>
    <n v="941"/>
    <x v="627"/>
    <n v="40"/>
    <x v="4"/>
    <x v="9"/>
    <n v="12355"/>
    <x v="200"/>
    <s v="No"/>
    <n v="72688614"/>
    <x v="591"/>
    <x v="0"/>
    <n v="100000000"/>
  </r>
  <r>
    <n v="942"/>
    <x v="935"/>
    <n v="10"/>
    <x v="6"/>
    <x v="17"/>
    <n v="16495"/>
    <x v="420"/>
    <s v="No"/>
    <n v="72515360"/>
    <x v="781"/>
    <x v="0"/>
    <n v="90000000"/>
  </r>
  <r>
    <n v="943"/>
    <x v="936"/>
    <n v="20"/>
    <x v="5"/>
    <x v="13"/>
    <n v="13135"/>
    <x v="585"/>
    <s v="No"/>
    <n v="72286779"/>
    <x v="463"/>
    <x v="0"/>
    <n v="30000000"/>
  </r>
  <r>
    <n v="944"/>
    <x v="937"/>
    <n v="10"/>
    <x v="6"/>
    <x v="4"/>
    <n v="15760"/>
    <x v="586"/>
    <s v="No"/>
    <n v="72266306"/>
    <x v="782"/>
    <x v="0"/>
    <n v="40000000"/>
  </r>
  <r>
    <n v="945"/>
    <x v="938"/>
    <n v="10"/>
    <x v="6"/>
    <x v="1"/>
    <n v="16690"/>
    <x v="587"/>
    <s v="No"/>
    <n v="72219395"/>
    <x v="783"/>
    <x v="0"/>
    <n v="50000000"/>
  </r>
  <r>
    <n v="946"/>
    <x v="939"/>
    <n v="30"/>
    <x v="7"/>
    <x v="0"/>
    <n v="16075"/>
    <x v="588"/>
    <s v="No"/>
    <n v="72091016"/>
    <x v="421"/>
    <x v="0"/>
    <n v="60000000"/>
  </r>
  <r>
    <n v="947"/>
    <x v="940"/>
    <n v="10"/>
    <x v="6"/>
    <x v="19"/>
    <n v="17470"/>
    <x v="589"/>
    <s v="No"/>
    <n v="72006777"/>
    <x v="488"/>
    <x v="0"/>
    <n v="26000000"/>
  </r>
  <r>
    <n v="948"/>
    <x v="941"/>
    <n v="50"/>
    <x v="1"/>
    <x v="51"/>
    <n v="10540"/>
    <x v="590"/>
    <s v="No"/>
    <n v="72000000"/>
    <x v="100"/>
    <x v="1"/>
    <n v="5000000"/>
  </r>
  <r>
    <n v="949"/>
    <x v="942"/>
    <n v="10"/>
    <x v="6"/>
    <x v="19"/>
    <n v="15175"/>
    <x v="591"/>
    <s v="No"/>
    <n v="71975611"/>
    <x v="784"/>
    <x v="0"/>
    <n v="22500000"/>
  </r>
  <r>
    <n v="950"/>
    <x v="943"/>
    <n v="50"/>
    <x v="1"/>
    <x v="33"/>
    <n v="12025"/>
    <x v="592"/>
    <s v="No"/>
    <n v="71759298"/>
    <x v="359"/>
    <x v="0"/>
    <n v="150000000"/>
  </r>
  <r>
    <n v="951"/>
    <x v="944"/>
    <n v="10"/>
    <x v="6"/>
    <x v="36"/>
    <n v="13150"/>
    <x v="593"/>
    <s v="No"/>
    <n v="71752669"/>
    <x v="362"/>
    <x v="0"/>
    <n v="150000000"/>
  </r>
  <r>
    <n v="952"/>
    <x v="945"/>
    <n v="40"/>
    <x v="4"/>
    <x v="3"/>
    <n v="14125"/>
    <x v="421"/>
    <s v="No"/>
    <n v="71628180"/>
    <x v="785"/>
    <x v="0"/>
    <n v="15000000"/>
  </r>
  <r>
    <n v="953"/>
    <x v="946"/>
    <n v="10"/>
    <x v="6"/>
    <x v="11"/>
    <n v="17065"/>
    <x v="594"/>
    <s v="No"/>
    <n v="71602138"/>
    <x v="786"/>
    <x v="0"/>
    <n v="30000000"/>
  </r>
  <r>
    <n v="954"/>
    <x v="947"/>
    <n v="80"/>
    <x v="0"/>
    <x v="18"/>
    <n v="12730"/>
    <x v="595"/>
    <s v="Yes"/>
    <n v="71562550"/>
    <x v="241"/>
    <x v="0"/>
    <n v="40000000"/>
  </r>
  <r>
    <n v="955"/>
    <x v="948"/>
    <n v="10"/>
    <x v="6"/>
    <x v="7"/>
    <n v="18535"/>
    <x v="596"/>
    <s v="No"/>
    <n v="71502303"/>
    <x v="374"/>
    <x v="0"/>
    <n v="80000000"/>
  </r>
  <r>
    <n v="956"/>
    <x v="949"/>
    <n v="10"/>
    <x v="6"/>
    <x v="20"/>
    <n v="12895"/>
    <x v="39"/>
    <s v="No"/>
    <n v="71500556"/>
    <x v="787"/>
    <x v="0"/>
    <n v="25000000"/>
  </r>
  <r>
    <n v="957"/>
    <x v="950"/>
    <n v="10"/>
    <x v="6"/>
    <x v="36"/>
    <n v="18115"/>
    <x v="597"/>
    <s v="Yes"/>
    <n v="71499832"/>
    <x v="346"/>
    <x v="0"/>
    <n v="80000000"/>
  </r>
  <r>
    <n v="958"/>
    <x v="951"/>
    <n v="50"/>
    <x v="1"/>
    <x v="36"/>
    <n v="10450"/>
    <x v="598"/>
    <s v="No"/>
    <n v="71477088"/>
    <x v="788"/>
    <x v="0"/>
    <n v="22000000"/>
  </r>
  <r>
    <n v="959"/>
    <x v="952"/>
    <n v="10"/>
    <x v="6"/>
    <x v="10"/>
    <n v="17425"/>
    <x v="97"/>
    <s v="No"/>
    <n v="71452035"/>
    <x v="225"/>
    <x v="0"/>
    <n v="230000000"/>
  </r>
  <r>
    <n v="960"/>
    <x v="953"/>
    <n v="10"/>
    <x v="6"/>
    <x v="0"/>
    <n v="13390"/>
    <x v="234"/>
    <s v="No"/>
    <n v="71440011"/>
    <x v="783"/>
    <x v="0"/>
    <n v="50000000"/>
  </r>
  <r>
    <n v="961"/>
    <x v="954"/>
    <n v="80"/>
    <x v="0"/>
    <x v="5"/>
    <n v="19105"/>
    <x v="599"/>
    <s v="No"/>
    <n v="71423726"/>
    <x v="789"/>
    <x v="0"/>
    <n v="34000000"/>
  </r>
  <r>
    <n v="962"/>
    <x v="955"/>
    <n v="10"/>
    <x v="6"/>
    <x v="13"/>
    <n v="14470"/>
    <x v="600"/>
    <s v="No"/>
    <n v="71399120"/>
    <x v="447"/>
    <x v="0"/>
    <n v="70000000"/>
  </r>
  <r>
    <n v="963"/>
    <x v="956"/>
    <n v="80"/>
    <x v="0"/>
    <x v="11"/>
    <n v="13690"/>
    <x v="601"/>
    <s v="No"/>
    <n v="71346004"/>
    <x v="790"/>
    <x v="0"/>
    <n v="55000000"/>
  </r>
  <r>
    <n v="964"/>
    <x v="957"/>
    <n v="10"/>
    <x v="6"/>
    <x v="24"/>
    <n v="12655"/>
    <x v="602"/>
    <s v="Yes"/>
    <n v="71338379"/>
    <x v="181"/>
    <x v="0"/>
    <n v="15000000"/>
  </r>
  <r>
    <n v="965"/>
    <x v="958"/>
    <n v="10"/>
    <x v="6"/>
    <x v="27"/>
    <n v="12175"/>
    <x v="603"/>
    <s v="Yes"/>
    <n v="71319546"/>
    <x v="181"/>
    <x v="0"/>
    <n v="3000000"/>
  </r>
  <r>
    <n v="966"/>
    <x v="959"/>
    <n v="50"/>
    <x v="1"/>
    <x v="25"/>
    <n v="14335"/>
    <x v="604"/>
    <s v="No"/>
    <n v="71309760"/>
    <x v="772"/>
    <x v="0"/>
    <n v="25000000"/>
  </r>
  <r>
    <n v="967"/>
    <x v="960"/>
    <n v="10"/>
    <x v="6"/>
    <x v="20"/>
    <n v="10375"/>
    <x v="352"/>
    <s v="Yes"/>
    <n v="71277420"/>
    <x v="791"/>
    <x v="0"/>
    <n v="45000000"/>
  </r>
  <r>
    <n v="968"/>
    <x v="961"/>
    <n v="80"/>
    <x v="0"/>
    <x v="29"/>
    <n v="19225"/>
    <x v="367"/>
    <s v="Yes"/>
    <n v="71273785"/>
    <x v="83"/>
    <x v="0"/>
    <n v="140000000"/>
  </r>
  <r>
    <n v="969"/>
    <x v="962"/>
    <n v="40"/>
    <x v="4"/>
    <x v="4"/>
    <n v="12805"/>
    <x v="605"/>
    <s v="No"/>
    <n v="71195053"/>
    <x v="792"/>
    <x v="0"/>
    <n v="92500000"/>
  </r>
  <r>
    <n v="970"/>
    <x v="963"/>
    <n v="10"/>
    <x v="6"/>
    <x v="20"/>
    <n v="17320"/>
    <x v="553"/>
    <s v="No"/>
    <n v="71069884"/>
    <x v="320"/>
    <x v="0"/>
    <n v="65000000"/>
  </r>
  <r>
    <n v="971"/>
    <x v="964"/>
    <n v="10"/>
    <x v="6"/>
    <x v="2"/>
    <n v="17020"/>
    <x v="606"/>
    <s v="Yes"/>
    <n v="71038190"/>
    <x v="290"/>
    <x v="0"/>
    <n v="26000000"/>
  </r>
  <r>
    <n v="972"/>
    <x v="965"/>
    <n v="10"/>
    <x v="6"/>
    <x v="14"/>
    <n v="15085"/>
    <x v="432"/>
    <s v="No"/>
    <n v="71026631"/>
    <x v="779"/>
    <x v="0"/>
    <n v="275000000"/>
  </r>
  <r>
    <n v="973"/>
    <x v="966"/>
    <n v="60"/>
    <x v="3"/>
    <x v="9"/>
    <n v="13090"/>
    <x v="607"/>
    <s v="Yes"/>
    <n v="71017784"/>
    <x v="793"/>
    <x v="0"/>
    <n v="110000000"/>
  </r>
  <r>
    <n v="974"/>
    <x v="967"/>
    <n v="10"/>
    <x v="6"/>
    <x v="24"/>
    <n v="14185"/>
    <x v="608"/>
    <s v="No"/>
    <n v="70978012"/>
    <x v="794"/>
    <x v="0"/>
    <n v="0"/>
  </r>
  <r>
    <n v="975"/>
    <x v="968"/>
    <n v="10"/>
    <x v="6"/>
    <x v="40"/>
    <n v="15220"/>
    <x v="472"/>
    <s v="No"/>
    <n v="70956485"/>
    <x v="655"/>
    <x v="0"/>
    <n v="45000000"/>
  </r>
  <r>
    <n v="976"/>
    <x v="969"/>
    <n v="10"/>
    <x v="6"/>
    <x v="20"/>
    <n v="13075"/>
    <x v="35"/>
    <s v="No"/>
    <n v="70836296"/>
    <x v="577"/>
    <x v="0"/>
    <n v="26000000"/>
  </r>
  <r>
    <n v="977"/>
    <x v="970"/>
    <n v="10"/>
    <x v="6"/>
    <x v="23"/>
    <n v="13630"/>
    <x v="609"/>
    <s v="Yes"/>
    <n v="70687344"/>
    <x v="639"/>
    <x v="0"/>
    <n v="60000000"/>
  </r>
  <r>
    <n v="978"/>
    <x v="971"/>
    <n v="10"/>
    <x v="6"/>
    <x v="12"/>
    <n v="16390"/>
    <x v="115"/>
    <s v="No"/>
    <n v="70662220"/>
    <x v="795"/>
    <x v="0"/>
    <n v="25000000"/>
  </r>
  <r>
    <n v="979"/>
    <x v="972"/>
    <n v="10"/>
    <x v="6"/>
    <x v="22"/>
    <n v="16615"/>
    <x v="610"/>
    <s v="No"/>
    <n v="70640985"/>
    <x v="796"/>
    <x v="0"/>
    <n v="65000000"/>
  </r>
  <r>
    <n v="980"/>
    <x v="973"/>
    <n v="10"/>
    <x v="6"/>
    <x v="9"/>
    <n v="16330"/>
    <x v="259"/>
    <s v="Yes"/>
    <n v="70525195"/>
    <x v="797"/>
    <x v="0"/>
    <n v="10000000"/>
  </r>
  <r>
    <n v="981"/>
    <x v="974"/>
    <n v="80"/>
    <x v="0"/>
    <x v="10"/>
    <n v="16390"/>
    <x v="115"/>
    <s v="No"/>
    <n v="70511035"/>
    <x v="683"/>
    <x v="0"/>
    <n v="30000000"/>
  </r>
  <r>
    <n v="982"/>
    <x v="975"/>
    <n v="40"/>
    <x v="4"/>
    <x v="36"/>
    <n v="11080"/>
    <x v="611"/>
    <s v="No"/>
    <n v="70423929"/>
    <x v="743"/>
    <x v="0"/>
    <n v="31000000"/>
  </r>
  <r>
    <n v="983"/>
    <x v="976"/>
    <n v="20"/>
    <x v="5"/>
    <x v="30"/>
    <n v="11740"/>
    <x v="612"/>
    <s v="No"/>
    <n v="70405498"/>
    <x v="798"/>
    <x v="0"/>
    <n v="40000000"/>
  </r>
  <r>
    <n v="984"/>
    <x v="977"/>
    <n v="10"/>
    <x v="6"/>
    <x v="25"/>
    <n v="17755"/>
    <x v="318"/>
    <s v="No"/>
    <n v="70327868"/>
    <x v="609"/>
    <x v="0"/>
    <n v="95000000"/>
  </r>
  <r>
    <n v="985"/>
    <x v="978"/>
    <n v="10"/>
    <x v="6"/>
    <x v="52"/>
    <n v="10705"/>
    <x v="613"/>
    <s v="Yes"/>
    <n v="70300000"/>
    <x v="743"/>
    <x v="0"/>
    <n v="31000000"/>
  </r>
  <r>
    <n v="986"/>
    <x v="979"/>
    <n v="20"/>
    <x v="5"/>
    <x v="10"/>
    <n v="16465"/>
    <x v="94"/>
    <s v="No"/>
    <n v="70278893"/>
    <x v="799"/>
    <x v="0"/>
    <n v="65000000"/>
  </r>
  <r>
    <n v="987"/>
    <x v="980"/>
    <n v="10"/>
    <x v="6"/>
    <x v="10"/>
    <n v="18385"/>
    <x v="213"/>
    <s v="Yes"/>
    <n v="70269899"/>
    <x v="430"/>
    <x v="0"/>
    <n v="24000000"/>
  </r>
  <r>
    <n v="988"/>
    <x v="981"/>
    <n v="10"/>
    <x v="6"/>
    <x v="4"/>
    <n v="12625"/>
    <x v="614"/>
    <s v="No"/>
    <n v="70231041"/>
    <x v="752"/>
    <x v="0"/>
    <n v="65000000"/>
  </r>
  <r>
    <n v="989"/>
    <x v="982"/>
    <n v="80"/>
    <x v="0"/>
    <x v="31"/>
    <n v="16660"/>
    <x v="104"/>
    <s v="Yes"/>
    <n v="70177571"/>
    <x v="632"/>
    <x v="0"/>
    <n v="46000000"/>
  </r>
  <r>
    <n v="990"/>
    <x v="983"/>
    <n v="10"/>
    <x v="6"/>
    <x v="15"/>
    <n v="11500"/>
    <x v="438"/>
    <s v="No"/>
    <n v="70172621"/>
    <x v="346"/>
    <x v="0"/>
    <n v="80000000"/>
  </r>
  <r>
    <n v="991"/>
    <x v="984"/>
    <n v="10"/>
    <x v="6"/>
    <x v="10"/>
    <n v="19285"/>
    <x v="95"/>
    <s v="Yes"/>
    <n v="70165972"/>
    <x v="596"/>
    <x v="0"/>
    <n v="40000000"/>
  </r>
  <r>
    <n v="992"/>
    <x v="985"/>
    <n v="10"/>
    <x v="6"/>
    <x v="27"/>
    <n v="18760"/>
    <x v="71"/>
    <s v="No"/>
    <n v="70131974"/>
    <x v="691"/>
    <x v="0"/>
    <n v="135000000"/>
  </r>
  <r>
    <n v="993"/>
    <x v="986"/>
    <n v="40"/>
    <x v="4"/>
    <x v="19"/>
    <n v="12145"/>
    <x v="615"/>
    <s v="No"/>
    <n v="70107728"/>
    <x v="530"/>
    <x v="0"/>
    <n v="205000000"/>
  </r>
  <r>
    <n v="994"/>
    <x v="987"/>
    <n v="10"/>
    <x v="6"/>
    <x v="16"/>
    <n v="14590"/>
    <x v="616"/>
    <s v="No"/>
    <n v="70098138"/>
    <x v="800"/>
    <x v="0"/>
    <n v="55000000"/>
  </r>
  <r>
    <n v="995"/>
    <x v="988"/>
    <n v="10"/>
    <x v="6"/>
    <x v="13"/>
    <n v="17530"/>
    <x v="617"/>
    <s v="No"/>
    <n v="70012847"/>
    <x v="503"/>
    <x v="0"/>
    <n v="30000000"/>
  </r>
  <r>
    <n v="996"/>
    <x v="989"/>
    <n v="90"/>
    <x v="2"/>
    <x v="31"/>
    <n v="18985"/>
    <x v="618"/>
    <s v="No"/>
    <n v="70001065"/>
    <x v="801"/>
    <x v="0"/>
    <n v="45000000"/>
  </r>
  <r>
    <n v="997"/>
    <x v="990"/>
    <n v="10"/>
    <x v="6"/>
    <x v="4"/>
    <n v="19165"/>
    <x v="192"/>
    <s v="No"/>
    <n v="69951824"/>
    <x v="802"/>
    <x v="0"/>
    <n v="54000000"/>
  </r>
  <r>
    <n v="998"/>
    <x v="991"/>
    <n v="10"/>
    <x v="6"/>
    <x v="23"/>
    <n v="13000"/>
    <x v="619"/>
    <s v="No"/>
    <n v="69847348"/>
    <x v="636"/>
    <x v="0"/>
    <n v="200000000"/>
  </r>
  <r>
    <n v="999"/>
    <x v="992"/>
    <n v="10"/>
    <x v="6"/>
    <x v="20"/>
    <n v="14320"/>
    <x v="146"/>
    <s v="No"/>
    <n v="69772969"/>
    <x v="803"/>
    <x v="0"/>
    <n v="80000000"/>
  </r>
  <r>
    <n v="1000"/>
    <x v="993"/>
    <n v="10"/>
    <x v="6"/>
    <x v="8"/>
    <n v="12250"/>
    <x v="620"/>
    <s v="No"/>
    <n v="69701637"/>
    <x v="797"/>
    <x v="0"/>
    <n v="1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B0BD4-C1DD-41F0-BF9C-D56BC50F3547}" name="PivotTable2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F19" firstHeaderRow="0" firstDataRow="1" firstDataCol="1"/>
  <pivotFields count="14">
    <pivotField showAll="0"/>
    <pivotField showAll="0"/>
    <pivotField numFmtId="1" showAll="0"/>
    <pivotField axis="axisRow" showAll="0" sortType="descending">
      <items count="10">
        <item x="6"/>
        <item x="5"/>
        <item x="7"/>
        <item x="4"/>
        <item x="1"/>
        <item x="3"/>
        <item x="8"/>
        <item x="0"/>
        <item x="2"/>
        <item t="default"/>
      </items>
      <autoSortScope>
        <pivotArea dataOnly="0" outline="0" fieldPosition="0">
          <references count="1">
            <reference field="4294967294" count="1" selected="0">
              <x v="0"/>
            </reference>
          </references>
        </pivotArea>
      </autoSortScope>
    </pivotField>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dataField="1" numFmtId="164" showAll="0"/>
    <pivotField dataField="1" numFmtId="165" showAll="0"/>
    <pivotField showAll="0"/>
    <pivotField numFmtId="165" showAll="0"/>
    <pivotField dragToRow="0" dragToCol="0" dragToPage="0" showAll="0" defaultSubtotal="0"/>
    <pivotField dataField="1" dragToRow="0" dragToCol="0" dragToPage="0" showAll="0" defaultSubtotal="0"/>
  </pivotFields>
  <rowFields count="1">
    <field x="3"/>
  </rowFields>
  <rowItems count="10">
    <i>
      <x v="8"/>
    </i>
    <i>
      <x v="7"/>
    </i>
    <i>
      <x v="3"/>
    </i>
    <i>
      <x v="5"/>
    </i>
    <i>
      <x v="4"/>
    </i>
    <i>
      <x v="1"/>
    </i>
    <i>
      <x/>
    </i>
    <i>
      <x v="2"/>
    </i>
    <i>
      <x v="6"/>
    </i>
    <i t="grand">
      <x/>
    </i>
  </rowItems>
  <colFields count="1">
    <field x="-2"/>
  </colFields>
  <colItems count="3">
    <i>
      <x/>
    </i>
    <i i="1">
      <x v="1"/>
    </i>
    <i i="2">
      <x v="2"/>
    </i>
  </colItems>
  <dataFields count="3">
    <dataField name="Average of Domestic Box Office" fld="8" subtotal="average" baseField="3" baseItem="0"/>
    <dataField name="Average of International Box Office" fld="9" subtotal="average" baseField="3" baseItem="0"/>
    <dataField name="Sum of Total Box Office" fld="13" baseField="0" baseItem="0"/>
  </dataFields>
  <formats count="7">
    <format dxfId="27">
      <pivotArea field="3" grandRow="1" outline="0" collapsedLevelsAreSubtotals="1" axis="axisRow" fieldPosition="0">
        <references count="1">
          <reference field="4294967294" count="1" selected="0">
            <x v="2"/>
          </reference>
        </references>
      </pivotArea>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fieldPosition="0">
        <references count="1">
          <reference field="4294967294" count="3">
            <x v="0"/>
            <x v="1"/>
            <x v="2"/>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B2C29-FAFC-4A61-933E-85EB82FDD04C}" name="PivotTable2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9:W19" firstHeaderRow="0" firstDataRow="1" firstDataCol="1"/>
  <pivotFields count="14">
    <pivotField showAll="0"/>
    <pivotField showAll="0"/>
    <pivotField numFmtId="1" showAll="0"/>
    <pivotField axis="axisRow" showAll="0" sortType="descending">
      <items count="10">
        <item x="6"/>
        <item x="5"/>
        <item x="7"/>
        <item x="4"/>
        <item x="1"/>
        <item x="3"/>
        <item x="8"/>
        <item x="0"/>
        <item x="2"/>
        <item t="default"/>
      </items>
      <autoSortScope>
        <pivotArea dataOnly="0" outline="0" fieldPosition="0">
          <references count="1">
            <reference field="4294967294" count="1" selected="0">
              <x v="0"/>
            </reference>
          </references>
        </pivotArea>
      </autoSortScope>
    </pivotField>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dataField="1" numFmtId="164" showAll="0"/>
    <pivotField dataField="1" numFmtId="165" showAll="0"/>
    <pivotField showAll="0"/>
    <pivotField numFmtId="165" showAll="0"/>
    <pivotField dragToRow="0" dragToCol="0" dragToPage="0" showAll="0" defaultSubtotal="0"/>
    <pivotField dataField="1" dragToRow="0" dragToCol="0" dragToPage="0" showAll="0" defaultSubtotal="0"/>
  </pivotFields>
  <rowFields count="1">
    <field x="3"/>
  </rowFields>
  <rowItems count="10">
    <i>
      <x v="8"/>
    </i>
    <i>
      <x v="7"/>
    </i>
    <i>
      <x v="3"/>
    </i>
    <i>
      <x v="5"/>
    </i>
    <i>
      <x v="4"/>
    </i>
    <i>
      <x v="1"/>
    </i>
    <i>
      <x/>
    </i>
    <i>
      <x v="2"/>
    </i>
    <i>
      <x v="6"/>
    </i>
    <i t="grand">
      <x/>
    </i>
  </rowItems>
  <colFields count="1">
    <field x="-2"/>
  </colFields>
  <colItems count="3">
    <i>
      <x/>
    </i>
    <i i="1">
      <x v="1"/>
    </i>
    <i i="2">
      <x v="2"/>
    </i>
  </colItems>
  <dataFields count="3">
    <dataField name="Average of Domestic Box Office" fld="8" subtotal="average" baseField="3" baseItem="0"/>
    <dataField name="Average of International Box Office" fld="9" subtotal="average" baseField="3" baseItem="0"/>
    <dataField name="Sum of Total Box Office" fld="13" baseField="0" baseItem="0"/>
  </dataFields>
  <formats count="1">
    <format dxfId="28">
      <pivotArea field="3" grandRow="1" outline="0" collapsedLevelsAreSubtotals="1" axis="axisRow" fieldPosition="0">
        <references count="1">
          <reference field="4294967294" count="1" selected="0">
            <x v="2"/>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3DC849-47D8-4A9E-B397-79E5DEBD792D}" name="PivotTable2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
  <location ref="J7:M17" firstHeaderRow="0" firstDataRow="1" firstDataCol="1"/>
  <pivotFields count="13">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axis="axisRow" compact="0" outline="0" showAll="0" sortType="descending" defaultSubtotal="0">
      <items count="9">
        <item x="6"/>
        <item x="5"/>
        <item x="7"/>
        <item x="4"/>
        <item x="1"/>
        <item x="3"/>
        <item x="8"/>
        <item x="0"/>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multipleItemSelectionAllowed="1"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3"/>
  </rowFields>
  <rowItems count="10">
    <i>
      <x v="8"/>
    </i>
    <i>
      <x v="7"/>
    </i>
    <i>
      <x v="3"/>
    </i>
    <i>
      <x v="5"/>
    </i>
    <i>
      <x v="4"/>
    </i>
    <i>
      <x v="1"/>
    </i>
    <i>
      <x/>
    </i>
    <i>
      <x v="2"/>
    </i>
    <i>
      <x v="6"/>
    </i>
    <i t="grand">
      <x/>
    </i>
  </rowItems>
  <colFields count="1">
    <field x="-2"/>
  </colFields>
  <colItems count="3">
    <i>
      <x/>
    </i>
    <i i="1">
      <x v="1"/>
    </i>
    <i i="2">
      <x v="2"/>
    </i>
  </colItems>
  <dataFields count="3">
    <dataField name="Average of Domestic Box Office" fld="8" subtotal="average" baseField="3" baseItem="0"/>
    <dataField name="Average of International Box Office" fld="9" subtotal="average" baseField="3" baseItem="0"/>
    <dataField name="Sum of Total Box Office" fld="12" baseField="0" baseItem="0"/>
  </dataFields>
  <formats count="13">
    <format dxfId="29">
      <pivotArea type="all" dataOnly="0" outline="0" fieldPosition="0"/>
    </format>
    <format dxfId="30">
      <pivotArea outline="0" collapsedLevelsAreSubtotals="1" fieldPosition="0"/>
    </format>
    <format dxfId="31">
      <pivotArea field="3" type="button" dataOnly="0" labelOnly="1" outline="0" axis="axisRow" fieldPosition="0"/>
    </format>
    <format dxfId="32">
      <pivotArea dataOnly="0" labelOnly="1" outline="0" fieldPosition="0">
        <references count="1">
          <reference field="3" count="0"/>
        </references>
      </pivotArea>
    </format>
    <format dxfId="33">
      <pivotArea dataOnly="0" labelOnly="1" grandRow="1" outline="0" fieldPosition="0"/>
    </format>
    <format dxfId="34">
      <pivotArea dataOnly="0" labelOnly="1" outline="0" fieldPosition="0">
        <references count="1">
          <reference field="4294967294" count="2">
            <x v="0"/>
            <x v="1"/>
          </reference>
        </references>
      </pivotArea>
    </format>
    <format dxfId="35">
      <pivotArea type="all" dataOnly="0" outline="0" fieldPosition="0"/>
    </format>
    <format dxfId="36">
      <pivotArea outline="0" collapsedLevelsAreSubtotals="1" fieldPosition="0"/>
    </format>
    <format dxfId="37">
      <pivotArea field="3" type="button" dataOnly="0" labelOnly="1" outline="0" axis="axisRow" fieldPosition="0"/>
    </format>
    <format dxfId="38">
      <pivotArea dataOnly="0" labelOnly="1" outline="0" fieldPosition="0">
        <references count="1">
          <reference field="3" count="0"/>
        </references>
      </pivotArea>
    </format>
    <format dxfId="39">
      <pivotArea dataOnly="0" labelOnly="1" grandRow="1" outline="0" fieldPosition="0"/>
    </format>
    <format dxfId="40">
      <pivotArea dataOnly="0" labelOnly="1" outline="0" fieldPosition="0">
        <references count="1">
          <reference field="4294967294" count="2">
            <x v="0"/>
            <x v="1"/>
          </reference>
        </references>
      </pivotArea>
    </format>
    <format dxfId="41">
      <pivotArea field="3" grandRow="1" outline="0" axis="axisRow" fieldPosition="0">
        <references count="1">
          <reference field="4294967294" count="1" selected="0">
            <x v="2"/>
          </reference>
        </references>
      </pivotArea>
    </format>
  </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9E16D-C202-4612-83B5-F0475698AA11}" name="PivotTable2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5:K642" firstHeaderRow="1" firstDataRow="1" firstDataCol="0"/>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numFmtId="164" showAll="0"/>
    <pivotField numFmtId="165" showAll="0"/>
    <pivotField showAll="0"/>
    <pivotField numFmtId="165" showAll="0"/>
    <pivotField dragToRow="0" dragToCol="0" dragToPage="0" showAll="0" defaultSubtotal="0"/>
    <pivotField dragToRow="0" dragToCol="0" dragToPage="0" showAll="0" defaultSubtota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D572B-7CA6-4A59-8A5F-00B4EF7BCF95}" name="PivotTable22"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L675:M678" firstHeaderRow="1" firstDataRow="1" firstDataCol="1"/>
  <pivotFields count="14">
    <pivotField showAll="0"/>
    <pivotField showAll="0">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dataField="1" showAll="0">
      <items count="3">
        <item x="1"/>
        <item x="0"/>
        <item t="default"/>
      </items>
    </pivotField>
    <pivotField numFmtId="165" showAll="0"/>
    <pivotField dragToRow="0" dragToCol="0" dragToPage="0" showAll="0" defaultSubtotal="0"/>
    <pivotField dragToRow="0" dragToCol="0" dragToPage="0" showAll="0" defaultSubtotal="0"/>
  </pivotFields>
  <rowFields count="1">
    <field x="6"/>
  </rowFields>
  <rowItems count="3">
    <i>
      <x v="133"/>
    </i>
    <i>
      <x v="580"/>
    </i>
    <i>
      <x v="506"/>
    </i>
  </rowItems>
  <colItems count="1">
    <i/>
  </colItems>
  <dataFields count="1">
    <dataField name="Count of Best Picture Winner"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sum"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B0585-7466-44B6-A046-D7C98B5B1858}" name="PivotTable21"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675:J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5" showAll="0"/>
    <pivotField showAll="0"/>
    <pivotField numFmtId="165" showAll="0"/>
    <pivotField dragToRow="0" dragToCol="0" dragToPage="0" showAll="0" defaultSubtotal="0"/>
    <pivotField dragToRow="0" dragToCol="0" dragToPage="0" showAll="0" defaultSubtotal="0"/>
  </pivotFields>
  <rowFields count="1">
    <field x="6"/>
  </rowFields>
  <rowItems count="3">
    <i>
      <x v="582"/>
    </i>
    <i>
      <x v="289"/>
    </i>
    <i>
      <x v="43"/>
    </i>
  </rowItems>
  <colItems count="1">
    <i/>
  </colItems>
  <dataFields count="1">
    <dataField name="Sum of Domestic Box Office" fld="8" baseField="0" baseItem="0"/>
  </dataField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A8A21-97C2-4EC9-B202-560118D77C68}" name="PivotTable20"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F675:G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1">
    <field x="6"/>
  </rowFields>
  <rowItems count="3">
    <i>
      <x v="582"/>
    </i>
    <i>
      <x v="289"/>
    </i>
    <i>
      <x v="604"/>
    </i>
  </rowItems>
  <colItems count="1">
    <i/>
  </colItems>
  <dataFields count="1">
    <dataField name="Sum of International Box Off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A2519-4CEB-42D6-A33C-439679206683}" name="PivotTable19"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C675:D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showAll="0"/>
    <pivotField dataField="1" numFmtId="165" showAll="0"/>
    <pivotField dragToRow="0" dragToCol="0" dragToPage="0" showAll="0" defaultSubtotal="0"/>
    <pivotField dragToRow="0" dragToCol="0" dragToPage="0" showAll="0" defaultSubtotal="0"/>
  </pivotFields>
  <rowFields count="1">
    <field x="6"/>
  </rowFields>
  <rowItems count="3">
    <i>
      <x v="289"/>
    </i>
    <i>
      <x v="582"/>
    </i>
    <i>
      <x v="121"/>
    </i>
  </rowItems>
  <colItems count="1">
    <i/>
  </colItems>
  <dataFields count="1">
    <dataField name="Sum of Production Budget" fld="11"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89"/>
          </reference>
        </references>
      </pivotArea>
    </chartFormat>
    <chartFormat chart="3" format="7">
      <pivotArea type="data" outline="0" fieldPosition="0">
        <references count="2">
          <reference field="4294967294" count="1" selected="0">
            <x v="0"/>
          </reference>
          <reference field="6" count="1" selected="0">
            <x v="582"/>
          </reference>
        </references>
      </pivotArea>
    </chartFormat>
    <chartFormat chart="3" format="8">
      <pivotArea type="data" outline="0" fieldPosition="0">
        <references count="2">
          <reference field="4294967294" count="1" selected="0">
            <x v="0"/>
          </reference>
          <reference field="6" count="1" selected="0">
            <x v="121"/>
          </reference>
        </references>
      </pivotArea>
    </chartFormat>
  </chartFormat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3D4308-B46B-45C8-AE2E-D4A3822BFDC3}" name="PivotTable18"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655:C660" firstHeaderRow="1" firstDataRow="1" firstDataCol="1"/>
  <pivotFields count="14">
    <pivotField showAll="0"/>
    <pivotField axis="axisRow" showAll="0">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sd="0"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sd="0"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sd="0"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sd="0" x="82"/>
        <item x="71"/>
        <item x="204"/>
        <item x="474"/>
        <item x="418"/>
        <item x="416"/>
        <item x="551"/>
        <item x="517"/>
        <item x="69"/>
        <item x="540"/>
        <item x="368"/>
        <item x="169"/>
        <item x="499"/>
        <item x="288"/>
        <item x="342"/>
        <item x="451"/>
        <item x="618"/>
        <item x="141"/>
        <item x="395"/>
        <item x="428"/>
        <item x="250"/>
        <item x="473"/>
        <item sd="0"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2">
    <field x="6"/>
    <field x="1"/>
  </rowFields>
  <rowItems count="5">
    <i>
      <x v="582"/>
    </i>
    <i>
      <x v="289"/>
    </i>
    <i>
      <x v="604"/>
    </i>
    <i>
      <x v="346"/>
    </i>
    <i>
      <x v="148"/>
    </i>
  </rowItems>
  <colItems count="1">
    <i/>
  </colItems>
  <dataFields count="1">
    <dataField name="Sum of International Box Office"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91B103-29B0-4D43-93BA-C6DF5C86016D}" name="PivotTable1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E651" firstHeaderRow="0"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1">
    <field x="6"/>
  </rowFields>
  <rowItems count="622">
    <i>
      <x v="582"/>
    </i>
    <i>
      <x v="289"/>
    </i>
    <i>
      <x v="604"/>
    </i>
    <i>
      <x v="346"/>
    </i>
    <i>
      <x v="148"/>
    </i>
    <i>
      <x v="162"/>
    </i>
    <i>
      <x v="143"/>
    </i>
    <i>
      <x v="333"/>
    </i>
    <i>
      <x v="43"/>
    </i>
    <i>
      <x v="488"/>
    </i>
    <i>
      <x v="298"/>
    </i>
    <i>
      <x v="536"/>
    </i>
    <i>
      <x v="121"/>
    </i>
    <i>
      <x v="194"/>
    </i>
    <i>
      <x v="165"/>
    </i>
    <i>
      <x v="370"/>
    </i>
    <i>
      <x v="217"/>
    </i>
    <i>
      <x v="583"/>
    </i>
    <i>
      <x v="93"/>
    </i>
    <i>
      <x v="578"/>
    </i>
    <i>
      <x v="372"/>
    </i>
    <i>
      <x v="61"/>
    </i>
    <i>
      <x v="316"/>
    </i>
    <i>
      <x v="411"/>
    </i>
    <i>
      <x v="390"/>
    </i>
    <i>
      <x v="521"/>
    </i>
    <i>
      <x v="207"/>
    </i>
    <i>
      <x v="72"/>
    </i>
    <i>
      <x v="334"/>
    </i>
    <i>
      <x/>
    </i>
    <i>
      <x v="558"/>
    </i>
    <i>
      <x v="599"/>
    </i>
    <i>
      <x v="56"/>
    </i>
    <i>
      <x v="104"/>
    </i>
    <i>
      <x v="34"/>
    </i>
    <i>
      <x v="571"/>
    </i>
    <i>
      <x v="430"/>
    </i>
    <i>
      <x v="218"/>
    </i>
    <i>
      <x v="494"/>
    </i>
    <i>
      <x v="96"/>
    </i>
    <i>
      <x v="332"/>
    </i>
    <i>
      <x v="506"/>
    </i>
    <i>
      <x v="240"/>
    </i>
    <i>
      <x v="301"/>
    </i>
    <i>
      <x v="192"/>
    </i>
    <i>
      <x v="546"/>
    </i>
    <i>
      <x v="32"/>
    </i>
    <i>
      <x v="464"/>
    </i>
    <i>
      <x v="350"/>
    </i>
    <i>
      <x v="276"/>
    </i>
    <i>
      <x v="156"/>
    </i>
    <i>
      <x v="267"/>
    </i>
    <i>
      <x v="258"/>
    </i>
    <i>
      <x v="425"/>
    </i>
    <i>
      <x v="117"/>
    </i>
    <i>
      <x v="68"/>
    </i>
    <i>
      <x v="154"/>
    </i>
    <i>
      <x v="545"/>
    </i>
    <i>
      <x v="248"/>
    </i>
    <i>
      <x v="615"/>
    </i>
    <i>
      <x v="140"/>
    </i>
    <i>
      <x v="124"/>
    </i>
    <i>
      <x v="55"/>
    </i>
    <i>
      <x v="62"/>
    </i>
    <i>
      <x v="182"/>
    </i>
    <i>
      <x v="100"/>
    </i>
    <i>
      <x v="471"/>
    </i>
    <i>
      <x v="382"/>
    </i>
    <i>
      <x v="21"/>
    </i>
    <i>
      <x v="41"/>
    </i>
    <i>
      <x v="576"/>
    </i>
    <i>
      <x v="287"/>
    </i>
    <i>
      <x v="168"/>
    </i>
    <i>
      <x v="410"/>
    </i>
    <i>
      <x v="393"/>
    </i>
    <i>
      <x v="52"/>
    </i>
    <i>
      <x v="84"/>
    </i>
    <i>
      <x v="590"/>
    </i>
    <i>
      <x v="94"/>
    </i>
    <i>
      <x v="51"/>
    </i>
    <i>
      <x v="443"/>
    </i>
    <i>
      <x v="509"/>
    </i>
    <i>
      <x v="244"/>
    </i>
    <i>
      <x v="386"/>
    </i>
    <i>
      <x v="108"/>
    </i>
    <i>
      <x v="223"/>
    </i>
    <i>
      <x v="503"/>
    </i>
    <i>
      <x v="611"/>
    </i>
    <i>
      <x v="294"/>
    </i>
    <i>
      <x v="237"/>
    </i>
    <i>
      <x v="17"/>
    </i>
    <i>
      <x v="204"/>
    </i>
    <i>
      <x v="378"/>
    </i>
    <i>
      <x v="306"/>
    </i>
    <i>
      <x v="441"/>
    </i>
    <i>
      <x v="136"/>
    </i>
    <i>
      <x v="396"/>
    </i>
    <i>
      <x v="169"/>
    </i>
    <i>
      <x v="91"/>
    </i>
    <i>
      <x v="562"/>
    </i>
    <i>
      <x v="336"/>
    </i>
    <i>
      <x v="120"/>
    </i>
    <i>
      <x v="609"/>
    </i>
    <i>
      <x v="213"/>
    </i>
    <i>
      <x v="19"/>
    </i>
    <i>
      <x v="348"/>
    </i>
    <i>
      <x v="555"/>
    </i>
    <i>
      <x v="102"/>
    </i>
    <i>
      <x v="309"/>
    </i>
    <i>
      <x v="291"/>
    </i>
    <i>
      <x v="335"/>
    </i>
    <i>
      <x v="519"/>
    </i>
    <i>
      <x v="157"/>
    </i>
    <i>
      <x v="618"/>
    </i>
    <i>
      <x v="90"/>
    </i>
    <i>
      <x v="238"/>
    </i>
    <i>
      <x v="463"/>
    </i>
    <i>
      <x v="257"/>
    </i>
    <i>
      <x v="338"/>
    </i>
    <i>
      <x v="517"/>
    </i>
    <i>
      <x v="610"/>
    </i>
    <i>
      <x v="522"/>
    </i>
    <i>
      <x v="329"/>
    </i>
    <i>
      <x v="6"/>
    </i>
    <i>
      <x v="44"/>
    </i>
    <i>
      <x v="60"/>
    </i>
    <i>
      <x v="510"/>
    </i>
    <i>
      <x v="597"/>
    </i>
    <i>
      <x v="119"/>
    </i>
    <i>
      <x v="113"/>
    </i>
    <i>
      <x v="114"/>
    </i>
    <i>
      <x v="473"/>
    </i>
    <i>
      <x v="234"/>
    </i>
    <i>
      <x v="543"/>
    </i>
    <i>
      <x v="152"/>
    </i>
    <i>
      <x v="261"/>
    </i>
    <i>
      <x v="80"/>
    </i>
    <i>
      <x v="363"/>
    </i>
    <i>
      <x v="405"/>
    </i>
    <i>
      <x v="550"/>
    </i>
    <i>
      <x v="265"/>
    </i>
    <i>
      <x v="3"/>
    </i>
    <i>
      <x v="75"/>
    </i>
    <i>
      <x v="105"/>
    </i>
    <i>
      <x v="272"/>
    </i>
    <i>
      <x v="399"/>
    </i>
    <i>
      <x v="33"/>
    </i>
    <i>
      <x v="357"/>
    </i>
    <i>
      <x v="275"/>
    </i>
    <i>
      <x v="423"/>
    </i>
    <i>
      <x v="537"/>
    </i>
    <i>
      <x v="479"/>
    </i>
    <i>
      <x v="118"/>
    </i>
    <i>
      <x v="28"/>
    </i>
    <i>
      <x v="232"/>
    </i>
    <i>
      <x v="452"/>
    </i>
    <i>
      <x v="516"/>
    </i>
    <i>
      <x v="565"/>
    </i>
    <i>
      <x v="9"/>
    </i>
    <i>
      <x v="398"/>
    </i>
    <i>
      <x v="16"/>
    </i>
    <i>
      <x v="459"/>
    </i>
    <i>
      <x v="511"/>
    </i>
    <i>
      <x v="614"/>
    </i>
    <i>
      <x v="2"/>
    </i>
    <i>
      <x v="78"/>
    </i>
    <i>
      <x v="147"/>
    </i>
    <i>
      <x v="185"/>
    </i>
    <i>
      <x v="24"/>
    </i>
    <i>
      <x v="528"/>
    </i>
    <i>
      <x v="138"/>
    </i>
    <i>
      <x v="285"/>
    </i>
    <i>
      <x v="475"/>
    </i>
    <i>
      <x v="142"/>
    </i>
    <i>
      <x v="227"/>
    </i>
    <i>
      <x v="133"/>
    </i>
    <i>
      <x v="619"/>
    </i>
    <i>
      <x v="413"/>
    </i>
    <i>
      <x v="57"/>
    </i>
    <i>
      <x v="532"/>
    </i>
    <i>
      <x v="328"/>
    </i>
    <i>
      <x v="205"/>
    </i>
    <i>
      <x v="593"/>
    </i>
    <i>
      <x v="224"/>
    </i>
    <i>
      <x v="453"/>
    </i>
    <i>
      <x v="435"/>
    </i>
    <i>
      <x v="361"/>
    </i>
    <i>
      <x v="106"/>
    </i>
    <i>
      <x v="608"/>
    </i>
    <i>
      <x v="239"/>
    </i>
    <i>
      <x v="318"/>
    </i>
    <i>
      <x v="231"/>
    </i>
    <i>
      <x v="337"/>
    </i>
    <i>
      <x v="500"/>
    </i>
    <i>
      <x v="462"/>
    </i>
    <i>
      <x v="419"/>
    </i>
    <i>
      <x v="406"/>
    </i>
    <i>
      <x v="193"/>
    </i>
    <i>
      <x v="487"/>
    </i>
    <i>
      <x v="212"/>
    </i>
    <i>
      <x v="292"/>
    </i>
    <i>
      <x v="236"/>
    </i>
    <i>
      <x v="472"/>
    </i>
    <i>
      <x v="281"/>
    </i>
    <i>
      <x v="428"/>
    </i>
    <i>
      <x v="268"/>
    </i>
    <i>
      <x v="458"/>
    </i>
    <i>
      <x v="111"/>
    </i>
    <i>
      <x v="220"/>
    </i>
    <i>
      <x v="273"/>
    </i>
    <i>
      <x v="388"/>
    </i>
    <i>
      <x v="512"/>
    </i>
    <i>
      <x v="407"/>
    </i>
    <i>
      <x v="159"/>
    </i>
    <i>
      <x v="163"/>
    </i>
    <i>
      <x v="417"/>
    </i>
    <i>
      <x v="222"/>
    </i>
    <i>
      <x v="331"/>
    </i>
    <i>
      <x v="304"/>
    </i>
    <i>
      <x v="123"/>
    </i>
    <i>
      <x v="553"/>
    </i>
    <i>
      <x v="190"/>
    </i>
    <i>
      <x v="312"/>
    </i>
    <i>
      <x v="468"/>
    </i>
    <i>
      <x v="375"/>
    </i>
    <i>
      <x v="431"/>
    </i>
    <i>
      <x v="554"/>
    </i>
    <i>
      <x v="551"/>
    </i>
    <i>
      <x v="199"/>
    </i>
    <i>
      <x v="575"/>
    </i>
    <i>
      <x v="514"/>
    </i>
    <i>
      <x v="584"/>
    </i>
    <i>
      <x v="303"/>
    </i>
    <i>
      <x v="211"/>
    </i>
    <i>
      <x v="18"/>
    </i>
    <i>
      <x v="560"/>
    </i>
    <i>
      <x v="254"/>
    </i>
    <i>
      <x v="523"/>
    </i>
    <i>
      <x v="557"/>
    </i>
    <i>
      <x v="474"/>
    </i>
    <i>
      <x v="484"/>
    </i>
    <i>
      <x v="563"/>
    </i>
    <i>
      <x v="596"/>
    </i>
    <i>
      <x v="180"/>
    </i>
    <i>
      <x v="277"/>
    </i>
    <i>
      <x v="76"/>
    </i>
    <i>
      <x v="535"/>
    </i>
    <i>
      <x v="424"/>
    </i>
    <i>
      <x v="226"/>
    </i>
    <i>
      <x v="7"/>
    </i>
    <i>
      <x v="360"/>
    </i>
    <i>
      <x v="166"/>
    </i>
    <i>
      <x v="432"/>
    </i>
    <i>
      <x v="13"/>
    </i>
    <i>
      <x v="11"/>
    </i>
    <i>
      <x v="99"/>
    </i>
    <i>
      <x v="341"/>
    </i>
    <i>
      <x v="58"/>
    </i>
    <i>
      <x v="579"/>
    </i>
    <i>
      <x v="263"/>
    </i>
    <i>
      <x v="606"/>
    </i>
    <i>
      <x v="103"/>
    </i>
    <i>
      <x v="81"/>
    </i>
    <i>
      <x v="8"/>
    </i>
    <i>
      <x v="395"/>
    </i>
    <i>
      <x v="607"/>
    </i>
    <i>
      <x v="85"/>
    </i>
    <i>
      <x v="414"/>
    </i>
    <i>
      <x v="134"/>
    </i>
    <i>
      <x v="416"/>
    </i>
    <i>
      <x v="25"/>
    </i>
    <i>
      <x v="299"/>
    </i>
    <i>
      <x v="538"/>
    </i>
    <i>
      <x v="262"/>
    </i>
    <i>
      <x v="400"/>
    </i>
    <i>
      <x v="605"/>
    </i>
    <i>
      <x v="216"/>
    </i>
    <i>
      <x v="415"/>
    </i>
    <i>
      <x v="422"/>
    </i>
    <i>
      <x v="602"/>
    </i>
    <i>
      <x v="404"/>
    </i>
    <i>
      <x v="296"/>
    </i>
    <i>
      <x v="225"/>
    </i>
    <i>
      <x v="485"/>
    </i>
    <i>
      <x v="434"/>
    </i>
    <i>
      <x v="539"/>
    </i>
    <i>
      <x v="324"/>
    </i>
    <i>
      <x v="469"/>
    </i>
    <i>
      <x v="612"/>
    </i>
    <i>
      <x v="14"/>
    </i>
    <i>
      <x v="191"/>
    </i>
    <i>
      <x v="64"/>
    </i>
    <i>
      <x v="209"/>
    </i>
    <i>
      <x v="351"/>
    </i>
    <i>
      <x v="391"/>
    </i>
    <i>
      <x v="568"/>
    </i>
    <i>
      <x v="616"/>
    </i>
    <i>
      <x v="387"/>
    </i>
    <i>
      <x v="12"/>
    </i>
    <i>
      <x v="270"/>
    </i>
    <i>
      <x v="22"/>
    </i>
    <i>
      <x v="27"/>
    </i>
    <i>
      <x v="461"/>
    </i>
    <i>
      <x v="588"/>
    </i>
    <i>
      <x v="567"/>
    </i>
    <i>
      <x v="412"/>
    </i>
    <i>
      <x v="450"/>
    </i>
    <i>
      <x v="63"/>
    </i>
    <i>
      <x v="566"/>
    </i>
    <i>
      <x v="594"/>
    </i>
    <i>
      <x v="188"/>
    </i>
    <i>
      <x v="367"/>
    </i>
    <i>
      <x v="595"/>
    </i>
    <i>
      <x v="513"/>
    </i>
    <i>
      <x v="544"/>
    </i>
    <i>
      <x v="342"/>
    </i>
    <i>
      <x v="403"/>
    </i>
    <i>
      <x v="394"/>
    </i>
    <i>
      <x v="330"/>
    </i>
    <i>
      <x v="376"/>
    </i>
    <i>
      <x v="48"/>
    </i>
    <i>
      <x v="214"/>
    </i>
    <i>
      <x v="53"/>
    </i>
    <i>
      <x v="518"/>
    </i>
    <i>
      <x v="65"/>
    </i>
    <i>
      <x v="353"/>
    </i>
    <i>
      <x v="101"/>
    </i>
    <i>
      <x v="426"/>
    </i>
    <i>
      <x v="531"/>
    </i>
    <i>
      <x v="325"/>
    </i>
    <i>
      <x v="74"/>
    </i>
    <i>
      <x v="228"/>
    </i>
    <i>
      <x v="507"/>
    </i>
    <i>
      <x v="181"/>
    </i>
    <i>
      <x v="47"/>
    </i>
    <i>
      <x v="50"/>
    </i>
    <i>
      <x v="499"/>
    </i>
    <i>
      <x v="109"/>
    </i>
    <i>
      <x v="340"/>
    </i>
    <i>
      <x v="250"/>
    </i>
    <i>
      <x v="233"/>
    </i>
    <i>
      <x v="409"/>
    </i>
    <i>
      <x v="347"/>
    </i>
    <i>
      <x v="490"/>
    </i>
    <i>
      <x v="279"/>
    </i>
    <i>
      <x v="302"/>
    </i>
    <i>
      <x v="266"/>
    </i>
    <i>
      <x v="130"/>
    </i>
    <i>
      <x v="145"/>
    </i>
    <i>
      <x v="366"/>
    </i>
    <i>
      <x v="308"/>
    </i>
    <i>
      <x v="229"/>
    </i>
    <i>
      <x v="282"/>
    </i>
    <i>
      <x v="601"/>
    </i>
    <i>
      <x v="23"/>
    </i>
    <i>
      <x v="561"/>
    </i>
    <i>
      <x v="87"/>
    </i>
    <i>
      <x v="46"/>
    </i>
    <i>
      <x v="71"/>
    </i>
    <i>
      <x v="323"/>
    </i>
    <i>
      <x v="88"/>
    </i>
    <i>
      <x v="392"/>
    </i>
    <i>
      <x v="581"/>
    </i>
    <i>
      <x v="115"/>
    </i>
    <i>
      <x v="371"/>
    </i>
    <i>
      <x v="35"/>
    </i>
    <i>
      <x v="286"/>
    </i>
    <i>
      <x v="49"/>
    </i>
    <i>
      <x v="320"/>
    </i>
    <i>
      <x v="95"/>
    </i>
    <i>
      <x v="67"/>
    </i>
    <i>
      <x v="173"/>
    </i>
    <i>
      <x v="215"/>
    </i>
    <i>
      <x v="587"/>
    </i>
    <i>
      <x v="408"/>
    </i>
    <i>
      <x v="542"/>
    </i>
    <i>
      <x v="421"/>
    </i>
    <i>
      <x v="82"/>
    </i>
    <i>
      <x v="620"/>
    </i>
    <i>
      <x v="59"/>
    </i>
    <i>
      <x v="245"/>
    </i>
    <i>
      <x v="402"/>
    </i>
    <i>
      <x v="498"/>
    </i>
    <i>
      <x v="385"/>
    </i>
    <i>
      <x v="10"/>
    </i>
    <i>
      <x v="617"/>
    </i>
    <i>
      <x v="319"/>
    </i>
    <i>
      <x v="45"/>
    </i>
    <i>
      <x v="527"/>
    </i>
    <i>
      <x v="359"/>
    </i>
    <i>
      <x v="249"/>
    </i>
    <i>
      <x v="529"/>
    </i>
    <i>
      <x v="293"/>
    </i>
    <i>
      <x v="492"/>
    </i>
    <i>
      <x v="203"/>
    </i>
    <i>
      <x v="73"/>
    </i>
    <i>
      <x v="358"/>
    </i>
    <i>
      <x v="206"/>
    </i>
    <i>
      <x v="284"/>
    </i>
    <i>
      <x v="221"/>
    </i>
    <i>
      <x v="600"/>
    </i>
    <i>
      <x v="37"/>
    </i>
    <i>
      <x v="313"/>
    </i>
    <i>
      <x v="158"/>
    </i>
    <i>
      <x v="274"/>
    </i>
    <i>
      <x v="573"/>
    </i>
    <i>
      <x v="31"/>
    </i>
    <i>
      <x v="290"/>
    </i>
    <i>
      <x v="540"/>
    </i>
    <i>
      <x v="202"/>
    </i>
    <i>
      <x v="89"/>
    </i>
    <i>
      <x v="427"/>
    </i>
    <i>
      <x v="307"/>
    </i>
    <i>
      <x v="436"/>
    </i>
    <i>
      <x v="271"/>
    </i>
    <i>
      <x v="569"/>
    </i>
    <i>
      <x v="264"/>
    </i>
    <i>
      <x v="369"/>
    </i>
    <i>
      <x v="437"/>
    </i>
    <i>
      <x v="247"/>
    </i>
    <i>
      <x v="491"/>
    </i>
    <i>
      <x v="321"/>
    </i>
    <i>
      <x v="442"/>
    </i>
    <i>
      <x v="196"/>
    </i>
    <i>
      <x v="374"/>
    </i>
    <i>
      <x v="280"/>
    </i>
    <i>
      <x v="112"/>
    </i>
    <i>
      <x v="305"/>
    </i>
    <i>
      <x v="42"/>
    </i>
    <i>
      <x v="317"/>
    </i>
    <i>
      <x v="179"/>
    </i>
    <i>
      <x v="177"/>
    </i>
    <i>
      <x v="132"/>
    </i>
    <i>
      <x v="574"/>
    </i>
    <i>
      <x v="481"/>
    </i>
    <i>
      <x v="170"/>
    </i>
    <i>
      <x v="501"/>
    </i>
    <i>
      <x v="1"/>
    </i>
    <i>
      <x v="29"/>
    </i>
    <i>
      <x v="66"/>
    </i>
    <i>
      <x v="183"/>
    </i>
    <i>
      <x v="379"/>
    </i>
    <i>
      <x v="470"/>
    </i>
    <i>
      <x v="447"/>
    </i>
    <i>
      <x v="110"/>
    </i>
    <i>
      <x v="433"/>
    </i>
    <i>
      <x v="502"/>
    </i>
    <i>
      <x v="457"/>
    </i>
    <i>
      <x v="356"/>
    </i>
    <i>
      <x v="174"/>
    </i>
    <i>
      <x v="365"/>
    </i>
    <i>
      <x v="128"/>
    </i>
    <i>
      <x v="591"/>
    </i>
    <i>
      <x v="39"/>
    </i>
    <i>
      <x v="246"/>
    </i>
    <i>
      <x v="5"/>
    </i>
    <i>
      <x v="26"/>
    </i>
    <i>
      <x v="155"/>
    </i>
    <i>
      <x v="4"/>
    </i>
    <i>
      <x v="187"/>
    </i>
    <i>
      <x v="377"/>
    </i>
    <i>
      <x v="362"/>
    </i>
    <i>
      <x v="243"/>
    </i>
    <i>
      <x v="252"/>
    </i>
    <i>
      <x v="495"/>
    </i>
    <i>
      <x v="195"/>
    </i>
    <i>
      <x v="311"/>
    </i>
    <i>
      <x v="189"/>
    </i>
    <i>
      <x v="314"/>
    </i>
    <i>
      <x v="77"/>
    </i>
    <i>
      <x v="589"/>
    </i>
    <i>
      <x v="429"/>
    </i>
    <i>
      <x v="380"/>
    </i>
    <i>
      <x v="186"/>
    </i>
    <i>
      <x v="171"/>
    </i>
    <i>
      <x v="559"/>
    </i>
    <i>
      <x v="355"/>
    </i>
    <i>
      <x v="122"/>
    </i>
    <i>
      <x v="445"/>
    </i>
    <i>
      <x v="297"/>
    </i>
    <i>
      <x v="256"/>
    </i>
    <i>
      <x v="38"/>
    </i>
    <i>
      <x v="149"/>
    </i>
    <i>
      <x v="300"/>
    </i>
    <i>
      <x v="368"/>
    </i>
    <i>
      <x v="483"/>
    </i>
    <i>
      <x v="349"/>
    </i>
    <i>
      <x v="92"/>
    </i>
    <i>
      <x v="526"/>
    </i>
    <i>
      <x v="478"/>
    </i>
    <i>
      <x v="70"/>
    </i>
    <i>
      <x v="397"/>
    </i>
    <i>
      <x v="125"/>
    </i>
    <i>
      <x v="504"/>
    </i>
    <i>
      <x v="288"/>
    </i>
    <i>
      <x v="79"/>
    </i>
    <i>
      <x v="260"/>
    </i>
    <i>
      <x v="242"/>
    </i>
    <i>
      <x v="345"/>
    </i>
    <i>
      <x v="160"/>
    </i>
    <i>
      <x v="373"/>
    </i>
    <i>
      <x v="184"/>
    </i>
    <i>
      <x v="383"/>
    </i>
    <i>
      <x v="444"/>
    </i>
    <i>
      <x v="547"/>
    </i>
    <i>
      <x v="327"/>
    </i>
    <i>
      <x v="603"/>
    </i>
    <i>
      <x v="440"/>
    </i>
    <i>
      <x v="269"/>
    </i>
    <i>
      <x v="381"/>
    </i>
    <i>
      <x v="200"/>
    </i>
    <i>
      <x v="477"/>
    </i>
    <i>
      <x v="30"/>
    </i>
    <i>
      <x v="384"/>
    </i>
    <i>
      <x v="315"/>
    </i>
    <i>
      <x v="253"/>
    </i>
    <i>
      <x v="438"/>
    </i>
    <i>
      <x v="454"/>
    </i>
    <i>
      <x v="153"/>
    </i>
    <i>
      <x v="201"/>
    </i>
    <i>
      <x v="40"/>
    </i>
    <i>
      <x v="552"/>
    </i>
    <i>
      <x v="20"/>
    </i>
    <i>
      <x v="577"/>
    </i>
    <i>
      <x v="570"/>
    </i>
    <i>
      <x v="466"/>
    </i>
    <i>
      <x v="508"/>
    </i>
    <i>
      <x v="255"/>
    </i>
    <i>
      <x v="520"/>
    </i>
    <i>
      <x v="592"/>
    </i>
    <i>
      <x v="493"/>
    </i>
    <i>
      <x v="541"/>
    </i>
    <i>
      <x v="352"/>
    </i>
    <i>
      <x v="278"/>
    </i>
    <i>
      <x v="418"/>
    </i>
    <i>
      <x v="339"/>
    </i>
    <i>
      <x v="476"/>
    </i>
    <i>
      <x v="586"/>
    </i>
    <i>
      <x v="389"/>
    </i>
    <i>
      <x v="135"/>
    </i>
    <i>
      <x v="161"/>
    </i>
    <i>
      <x v="525"/>
    </i>
    <i>
      <x v="549"/>
    </i>
    <i>
      <x v="482"/>
    </i>
    <i>
      <x v="534"/>
    </i>
    <i>
      <x v="455"/>
    </i>
    <i>
      <x v="515"/>
    </i>
    <i>
      <x v="401"/>
    </i>
    <i>
      <x v="107"/>
    </i>
    <i>
      <x v="131"/>
    </i>
    <i>
      <x v="524"/>
    </i>
    <i>
      <x v="175"/>
    </i>
    <i>
      <x v="449"/>
    </i>
    <i>
      <x v="15"/>
    </i>
    <i>
      <x v="241"/>
    </i>
    <i>
      <x v="129"/>
    </i>
    <i>
      <x v="598"/>
    </i>
    <i>
      <x v="150"/>
    </i>
    <i>
      <x v="178"/>
    </i>
    <i>
      <x v="164"/>
    </i>
    <i>
      <x v="505"/>
    </i>
    <i>
      <x v="295"/>
    </i>
    <i>
      <x v="344"/>
    </i>
    <i>
      <x v="127"/>
    </i>
    <i>
      <x v="354"/>
    </i>
    <i>
      <x v="69"/>
    </i>
    <i>
      <x v="251"/>
    </i>
    <i>
      <x v="486"/>
    </i>
    <i>
      <x v="259"/>
    </i>
    <i>
      <x v="585"/>
    </i>
    <i>
      <x v="126"/>
    </i>
    <i>
      <x v="83"/>
    </i>
    <i>
      <x v="235"/>
    </i>
    <i>
      <x v="420"/>
    </i>
    <i>
      <x v="36"/>
    </i>
    <i>
      <x v="310"/>
    </i>
    <i>
      <x v="116"/>
    </i>
    <i>
      <x v="465"/>
    </i>
    <i>
      <x v="343"/>
    </i>
    <i>
      <x v="283"/>
    </i>
    <i>
      <x v="208"/>
    </i>
    <i>
      <x v="564"/>
    </i>
    <i>
      <x v="198"/>
    </i>
    <i>
      <x v="98"/>
    </i>
    <i>
      <x v="446"/>
    </i>
    <i>
      <x v="530"/>
    </i>
    <i>
      <x v="533"/>
    </i>
    <i>
      <x v="497"/>
    </i>
    <i>
      <x v="364"/>
    </i>
    <i>
      <x v="172"/>
    </i>
    <i>
      <x v="572"/>
    </i>
    <i>
      <x v="230"/>
    </i>
    <i>
      <x v="460"/>
    </i>
    <i>
      <x v="456"/>
    </i>
    <i>
      <x v="613"/>
    </i>
    <i>
      <x v="97"/>
    </i>
    <i>
      <x v="167"/>
    </i>
    <i>
      <x v="467"/>
    </i>
    <i>
      <x v="326"/>
    </i>
    <i>
      <x v="439"/>
    </i>
    <i>
      <x v="54"/>
    </i>
    <i>
      <x v="137"/>
    </i>
    <i>
      <x v="548"/>
    </i>
    <i>
      <x v="489"/>
    </i>
    <i>
      <x v="480"/>
    </i>
    <i>
      <x v="210"/>
    </i>
    <i>
      <x v="448"/>
    </i>
    <i>
      <x v="151"/>
    </i>
    <i>
      <x v="451"/>
    </i>
    <i>
      <x v="219"/>
    </i>
    <i>
      <x v="322"/>
    </i>
    <i>
      <x v="496"/>
    </i>
    <i>
      <x v="580"/>
    </i>
    <i>
      <x v="556"/>
    </i>
    <i>
      <x v="86"/>
    </i>
    <i>
      <x v="144"/>
    </i>
    <i>
      <x v="176"/>
    </i>
    <i>
      <x v="139"/>
    </i>
    <i>
      <x v="197"/>
    </i>
    <i>
      <x v="146"/>
    </i>
    <i>
      <x v="141"/>
    </i>
    <i t="grand">
      <x/>
    </i>
  </rowItems>
  <colFields count="1">
    <field x="-2"/>
  </colFields>
  <colItems count="2">
    <i>
      <x/>
    </i>
    <i i="1">
      <x v="1"/>
    </i>
  </colItems>
  <dataFields count="2">
    <dataField name="Sum of International Box Office" fld="9" baseField="0" baseItem="0"/>
    <dataField name="Sum of Domestic Box Office" fld="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032754-B302-45B4-B8E5-C5FA5F6F3371}" name="PivotTable16"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9:F13" firstHeaderRow="0" firstDataRow="1" firstDataCol="1"/>
  <pivotFields count="14">
    <pivotField showAll="0"/>
    <pivotField showAll="0"/>
    <pivotField showAll="0"/>
    <pivotField axis="axisRow" showAll="0" measureFilter="1" sortType="descending">
      <items count="10">
        <item x="6"/>
        <item x="5"/>
        <item x="7"/>
        <item x="4"/>
        <item x="1"/>
        <item x="3"/>
        <item x="8"/>
        <item x="0"/>
        <item x="2"/>
        <item t="default"/>
      </items>
      <autoSortScope>
        <pivotArea dataOnly="0" outline="0" fieldPosition="0">
          <references count="1">
            <reference field="4294967294" count="1" selected="0">
              <x v="1"/>
            </reference>
          </references>
        </pivotArea>
      </autoSortScope>
    </pivotField>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showAll="0"/>
    <pivotField dataField="1" showAll="0"/>
    <pivotField showAll="0"/>
    <pivotField dataField="1" showAll="0"/>
    <pivotField dragToRow="0" dragToCol="0" dragToPage="0" showAll="0" defaultSubtotal="0"/>
    <pivotField dragToRow="0" dragToCol="0" dragToPage="0" showAll="0" defaultSubtotal="0"/>
  </pivotFields>
  <rowFields count="1">
    <field x="3"/>
  </rowFields>
  <rowItems count="4">
    <i>
      <x/>
    </i>
    <i>
      <x v="7"/>
    </i>
    <i>
      <x v="3"/>
    </i>
    <i>
      <x v="5"/>
    </i>
  </rowItems>
  <colFields count="1">
    <field x="-2"/>
  </colFields>
  <colItems count="2">
    <i>
      <x/>
    </i>
    <i i="1">
      <x v="1"/>
    </i>
  </colItems>
  <dataFields count="2">
    <dataField name="Sum of Production Budget" fld="11" baseField="0" baseItem="0"/>
    <dataField name="Sum of International Box Office" fld="9"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7"/>
          </reference>
        </references>
      </pivotArea>
    </chartFormat>
    <chartFormat chart="4" format="15">
      <pivotArea type="data" outline="0" fieldPosition="0">
        <references count="2">
          <reference field="4294967294" count="1" selected="0">
            <x v="0"/>
          </reference>
          <reference field="3" count="1" selected="0">
            <x v="3"/>
          </reference>
        </references>
      </pivotArea>
    </chartFormat>
    <chartFormat chart="4" format="16">
      <pivotArea type="data" outline="0" fieldPosition="0">
        <references count="2">
          <reference field="4294967294" count="1" selected="0">
            <x v="0"/>
          </reference>
          <reference field="3" count="1" selected="0">
            <x v="5"/>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3" count="1" selected="0">
            <x v="0"/>
          </reference>
        </references>
      </pivotArea>
    </chartFormat>
    <chartFormat chart="4" format="19">
      <pivotArea type="data" outline="0" fieldPosition="0">
        <references count="2">
          <reference field="4294967294" count="1" selected="0">
            <x v="1"/>
          </reference>
          <reference field="3" count="1" selected="0">
            <x v="7"/>
          </reference>
        </references>
      </pivotArea>
    </chartFormat>
    <chartFormat chart="4" format="20">
      <pivotArea type="data" outline="0" fieldPosition="0">
        <references count="2">
          <reference field="4294967294" count="1" selected="0">
            <x v="1"/>
          </reference>
          <reference field="3" count="1" selected="0">
            <x v="3"/>
          </reference>
        </references>
      </pivotArea>
    </chartFormat>
    <chartFormat chart="4" format="21">
      <pivotArea type="data" outline="0" fieldPosition="0">
        <references count="2">
          <reference field="4294967294" count="1" selected="0">
            <x v="1"/>
          </reference>
          <reference field="3" count="1" selected="0">
            <x v="5"/>
          </reference>
        </references>
      </pivotArea>
    </chartFormat>
  </chartFormats>
  <pivotTableStyleInfo name="PivotStyleMedium4" showRowHeaders="1" showColHeaders="1" showRowStripes="0" showColStripes="0" showLastColumn="1"/>
  <filters count="1">
    <filter fld="3"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B04D77-F88B-487E-B323-D5F564DC3590}" name="PivotTable15"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D6" firstHeaderRow="0" firstDataRow="1" firstDataCol="1"/>
  <pivotFields count="14">
    <pivotField showAll="0"/>
    <pivotField axis="axisRow" showAll="0" measureFilter="1" sortType="descending">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autoSortScope>
        <pivotArea dataOnly="0" outline="0" fieldPosition="0">
          <references count="1">
            <reference field="4294967294" count="1" selected="0">
              <x v="2"/>
            </reference>
          </references>
        </pivotArea>
      </autoSortScope>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dataField="1" numFmtId="164" showAll="0"/>
    <pivotField dataField="1" numFmtId="165" showAll="0"/>
    <pivotField showAll="0"/>
    <pivotField dataField="1" numFmtId="165" showAll="0"/>
    <pivotField dragToRow="0" dragToCol="0" dragToPage="0" showAll="0" defaultSubtotal="0"/>
    <pivotField dragToRow="0" dragToCol="0" dragToPage="0" showAll="0" defaultSubtotal="0"/>
  </pivotFields>
  <rowFields count="1">
    <field x="1"/>
  </rowFields>
  <rowItems count="5">
    <i>
      <x v="71"/>
    </i>
    <i>
      <x v="713"/>
    </i>
    <i>
      <x v="392"/>
    </i>
    <i>
      <x v="906"/>
    </i>
    <i>
      <x v="741"/>
    </i>
  </rowItems>
  <colFields count="1">
    <field x="-2"/>
  </colFields>
  <colItems count="3">
    <i>
      <x/>
    </i>
    <i i="1">
      <x v="1"/>
    </i>
    <i i="2">
      <x v="2"/>
    </i>
  </colItems>
  <dataFields count="3">
    <dataField name="Sum of Domestic Box Office" fld="8" baseField="0" baseItem="0"/>
    <dataField name="Sum of International Box Office" fld="9" baseField="0" baseItem="0"/>
    <dataField name="Sum of Production Budget"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24335C-C6E3-4F8C-A813-12BF12E2EEF0}"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Actor">
  <location ref="F11:H27" firstHeaderRow="0"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1"/>
            </reference>
          </references>
        </pivotArea>
      </autoSortScope>
    </pivotField>
    <pivotField showAll="0"/>
    <pivotField numFmtId="164" showAll="0"/>
    <pivotField dataField="1" numFmtId="165" showAll="0">
      <items count="805">
        <item x="181"/>
        <item x="287"/>
        <item x="344"/>
        <item x="459"/>
        <item x="455"/>
        <item x="399"/>
        <item x="510"/>
        <item x="462"/>
        <item x="427"/>
        <item x="420"/>
        <item x="251"/>
        <item x="491"/>
        <item x="518"/>
        <item x="351"/>
        <item x="258"/>
        <item x="563"/>
        <item x="320"/>
        <item x="471"/>
        <item x="604"/>
        <item x="254"/>
        <item x="290"/>
        <item x="570"/>
        <item x="341"/>
        <item x="409"/>
        <item x="224"/>
        <item x="500"/>
        <item x="378"/>
        <item x="297"/>
        <item x="389"/>
        <item x="493"/>
        <item x="603"/>
        <item x="212"/>
        <item x="543"/>
        <item x="528"/>
        <item x="461"/>
        <item x="422"/>
        <item x="414"/>
        <item x="85"/>
        <item x="488"/>
        <item x="708"/>
        <item x="501"/>
        <item x="322"/>
        <item x="538"/>
        <item x="434"/>
        <item x="431"/>
        <item x="696"/>
        <item x="98"/>
        <item x="740"/>
        <item x="463"/>
        <item x="594"/>
        <item x="666"/>
        <item x="444"/>
        <item x="697"/>
        <item x="665"/>
        <item x="380"/>
        <item x="699"/>
        <item x="623"/>
        <item x="638"/>
        <item x="440"/>
        <item x="479"/>
        <item x="668"/>
        <item x="698"/>
        <item x="468"/>
        <item x="757"/>
        <item x="504"/>
        <item x="408"/>
        <item x="714"/>
        <item x="777"/>
        <item x="632"/>
        <item x="589"/>
        <item x="641"/>
        <item x="550"/>
        <item x="590"/>
        <item x="784"/>
        <item x="615"/>
        <item x="333"/>
        <item x="533"/>
        <item x="631"/>
        <item x="451"/>
        <item x="695"/>
        <item x="801"/>
        <item x="449"/>
        <item x="429"/>
        <item x="639"/>
        <item x="756"/>
        <item x="298"/>
        <item x="724"/>
        <item x="675"/>
        <item x="474"/>
        <item x="498"/>
        <item x="608"/>
        <item x="613"/>
        <item x="324"/>
        <item x="566"/>
        <item x="242"/>
        <item x="620"/>
        <item x="663"/>
        <item x="425"/>
        <item x="749"/>
        <item x="646"/>
        <item x="173"/>
        <item x="596"/>
        <item x="379"/>
        <item x="335"/>
        <item x="774"/>
        <item x="794"/>
        <item x="497"/>
        <item x="633"/>
        <item x="426"/>
        <item x="557"/>
        <item x="573"/>
        <item x="525"/>
        <item x="765"/>
        <item x="605"/>
        <item x="618"/>
        <item x="791"/>
        <item x="514"/>
        <item x="519"/>
        <item x="256"/>
        <item x="282"/>
        <item x="711"/>
        <item x="655"/>
        <item x="400"/>
        <item x="703"/>
        <item x="650"/>
        <item x="597"/>
        <item x="693"/>
        <item x="521"/>
        <item x="595"/>
        <item x="575"/>
        <item x="139"/>
        <item x="741"/>
        <item x="733"/>
        <item x="437"/>
        <item x="640"/>
        <item x="738"/>
        <item x="375"/>
        <item x="416"/>
        <item x="578"/>
        <item x="522"/>
        <item x="729"/>
        <item x="769"/>
        <item x="785"/>
        <item x="509"/>
        <item x="556"/>
        <item x="710"/>
        <item x="700"/>
        <item x="489"/>
        <item x="725"/>
        <item x="803"/>
        <item x="758"/>
        <item x="796"/>
        <item x="527"/>
        <item x="599"/>
        <item x="795"/>
        <item x="782"/>
        <item x="534"/>
        <item x="134"/>
        <item x="469"/>
        <item x="753"/>
        <item x="648"/>
        <item x="305"/>
        <item x="705"/>
        <item x="545"/>
        <item x="505"/>
        <item x="487"/>
        <item x="739"/>
        <item x="220"/>
        <item x="772"/>
        <item x="624"/>
        <item x="564"/>
        <item x="110"/>
        <item x="294"/>
        <item x="571"/>
        <item x="390"/>
        <item x="683"/>
        <item x="744"/>
        <item x="721"/>
        <item x="433"/>
        <item x="406"/>
        <item x="754"/>
        <item x="770"/>
        <item x="227"/>
        <item x="658"/>
        <item x="473"/>
        <item x="78"/>
        <item x="586"/>
        <item x="373"/>
        <item x="412"/>
        <item x="643"/>
        <item x="430"/>
        <item x="750"/>
        <item x="607"/>
        <item x="763"/>
        <item x="506"/>
        <item x="435"/>
        <item x="567"/>
        <item x="325"/>
        <item x="704"/>
        <item x="302"/>
        <item x="637"/>
        <item x="797"/>
        <item x="634"/>
        <item x="727"/>
        <item x="768"/>
        <item x="781"/>
        <item x="447"/>
        <item x="718"/>
        <item x="767"/>
        <item x="555"/>
        <item x="783"/>
        <item x="332"/>
        <item x="188"/>
        <item x="723"/>
        <item x="775"/>
        <item x="792"/>
        <item x="366"/>
        <item x="354"/>
        <item x="719"/>
        <item x="485"/>
        <item x="674"/>
        <item x="694"/>
        <item x="413"/>
        <item x="799"/>
        <item x="588"/>
        <item x="690"/>
        <item x="673"/>
        <item x="436"/>
        <item x="688"/>
        <item x="780"/>
        <item x="441"/>
        <item x="312"/>
        <item x="802"/>
        <item x="460"/>
        <item x="679"/>
        <item x="656"/>
        <item x="664"/>
        <item x="535"/>
        <item x="671"/>
        <item x="75"/>
        <item x="292"/>
        <item x="329"/>
        <item x="610"/>
        <item x="752"/>
        <item x="611"/>
        <item x="745"/>
        <item x="448"/>
        <item x="470"/>
        <item x="680"/>
        <item x="432"/>
        <item x="568"/>
        <item x="786"/>
        <item x="183"/>
        <item x="585"/>
        <item x="492"/>
        <item x="731"/>
        <item x="246"/>
        <item x="788"/>
        <item x="503"/>
        <item x="310"/>
        <item x="148"/>
        <item x="356"/>
        <item x="773"/>
        <item x="576"/>
        <item x="303"/>
        <item x="478"/>
        <item x="507"/>
        <item x="682"/>
        <item x="742"/>
        <item x="627"/>
        <item x="544"/>
        <item x="541"/>
        <item x="562"/>
        <item x="644"/>
        <item x="771"/>
        <item x="800"/>
        <item x="592"/>
        <item x="515"/>
        <item x="676"/>
        <item x="662"/>
        <item x="486"/>
        <item x="626"/>
        <item x="466"/>
        <item x="278"/>
        <item x="311"/>
        <item x="443"/>
        <item x="548"/>
        <item x="776"/>
        <item x="382"/>
        <item x="250"/>
        <item x="653"/>
        <item x="495"/>
        <item x="266"/>
        <item x="569"/>
        <item x="602"/>
        <item x="490"/>
        <item x="761"/>
        <item x="475"/>
        <item x="625"/>
        <item x="540"/>
        <item x="403"/>
        <item x="257"/>
        <item x="208"/>
        <item x="701"/>
        <item x="355"/>
        <item x="751"/>
        <item x="346"/>
        <item x="630"/>
        <item x="512"/>
        <item x="457"/>
        <item x="452"/>
        <item x="670"/>
        <item x="574"/>
        <item x="600"/>
        <item x="652"/>
        <item x="314"/>
        <item x="560"/>
        <item x="275"/>
        <item x="581"/>
        <item x="778"/>
        <item x="526"/>
        <item x="619"/>
        <item x="368"/>
        <item x="381"/>
        <item x="764"/>
        <item x="454"/>
        <item x="269"/>
        <item x="259"/>
        <item x="226"/>
        <item x="391"/>
        <item x="279"/>
        <item x="689"/>
        <item x="516"/>
        <item x="116"/>
        <item x="190"/>
        <item x="410"/>
        <item x="484"/>
        <item x="442"/>
        <item x="713"/>
        <item x="244"/>
        <item x="659"/>
        <item x="677"/>
        <item x="167"/>
        <item x="647"/>
        <item x="790"/>
        <item x="273"/>
        <item x="306"/>
        <item x="428"/>
        <item x="715"/>
        <item x="565"/>
        <item x="288"/>
        <item x="83"/>
        <item x="601"/>
        <item x="686"/>
        <item x="598"/>
        <item x="339"/>
        <item x="476"/>
        <item x="450"/>
        <item x="692"/>
        <item x="645"/>
        <item x="685"/>
        <item x="496"/>
        <item x="593"/>
        <item x="383"/>
        <item x="511"/>
        <item x="554"/>
        <item x="661"/>
        <item x="572"/>
        <item x="392"/>
        <item x="747"/>
        <item x="372"/>
        <item x="762"/>
        <item x="552"/>
        <item x="370"/>
        <item x="558"/>
        <item x="260"/>
        <item x="737"/>
        <item x="100"/>
        <item x="759"/>
        <item x="337"/>
        <item x="654"/>
        <item x="707"/>
        <item x="323"/>
        <item x="397"/>
        <item x="458"/>
        <item x="798"/>
        <item x="702"/>
        <item x="635"/>
        <item x="546"/>
        <item x="133"/>
        <item x="222"/>
        <item x="722"/>
        <item x="364"/>
        <item x="720"/>
        <item x="232"/>
        <item x="394"/>
        <item x="481"/>
        <item x="170"/>
        <item x="621"/>
        <item x="743"/>
        <item x="706"/>
        <item x="293"/>
        <item x="553"/>
        <item x="717"/>
        <item x="93"/>
        <item x="405"/>
        <item x="361"/>
        <item x="214"/>
        <item x="709"/>
        <item x="318"/>
        <item x="464"/>
        <item x="616"/>
        <item x="249"/>
        <item x="267"/>
        <item x="369"/>
        <item x="127"/>
        <item x="760"/>
        <item x="187"/>
        <item x="221"/>
        <item x="245"/>
        <item x="274"/>
        <item x="299"/>
        <item x="241"/>
        <item x="532"/>
        <item x="277"/>
        <item x="182"/>
        <item x="502"/>
        <item x="735"/>
        <item x="612"/>
        <item x="211"/>
        <item x="228"/>
        <item x="728"/>
        <item x="149"/>
        <item x="330"/>
        <item x="732"/>
        <item x="424"/>
        <item x="367"/>
        <item x="508"/>
        <item x="660"/>
        <item x="358"/>
        <item x="726"/>
        <item x="336"/>
        <item x="353"/>
        <item x="736"/>
        <item x="271"/>
        <item x="482"/>
        <item x="213"/>
        <item x="315"/>
        <item x="628"/>
        <item x="559"/>
        <item x="92"/>
        <item x="415"/>
        <item x="386"/>
        <item x="419"/>
        <item x="217"/>
        <item x="284"/>
        <item x="583"/>
        <item x="283"/>
        <item x="734"/>
        <item x="669"/>
        <item x="363"/>
        <item x="539"/>
        <item x="542"/>
        <item x="289"/>
        <item x="343"/>
        <item x="678"/>
        <item x="529"/>
        <item x="472"/>
        <item x="215"/>
        <item x="755"/>
        <item x="591"/>
        <item x="681"/>
        <item x="374"/>
        <item x="235"/>
        <item x="385"/>
        <item x="331"/>
        <item x="438"/>
        <item x="407"/>
        <item x="171"/>
        <item x="135"/>
        <item x="362"/>
        <item x="285"/>
        <item x="158"/>
        <item x="614"/>
        <item x="766"/>
        <item x="334"/>
        <item x="317"/>
        <item x="205"/>
        <item x="657"/>
        <item x="196"/>
        <item x="326"/>
        <item x="667"/>
        <item x="155"/>
        <item x="402"/>
        <item x="730"/>
        <item x="577"/>
        <item x="421"/>
        <item x="113"/>
        <item x="328"/>
        <item x="265"/>
        <item x="494"/>
        <item x="712"/>
        <item x="579"/>
        <item x="194"/>
        <item x="746"/>
        <item x="418"/>
        <item x="748"/>
        <item x="161"/>
        <item x="206"/>
        <item x="642"/>
        <item x="191"/>
        <item x="239"/>
        <item x="223"/>
        <item x="162"/>
        <item x="359"/>
        <item x="71"/>
        <item x="199"/>
        <item x="789"/>
        <item x="70"/>
        <item x="240"/>
        <item x="186"/>
        <item x="159"/>
        <item x="132"/>
        <item x="629"/>
        <item x="109"/>
        <item x="204"/>
        <item x="445"/>
        <item x="417"/>
        <item x="31"/>
        <item x="272"/>
        <item x="286"/>
        <item x="150"/>
        <item x="651"/>
        <item x="609"/>
        <item x="82"/>
        <item x="248"/>
        <item x="622"/>
        <item x="230"/>
        <item x="404"/>
        <item x="345"/>
        <item x="377"/>
        <item x="537"/>
        <item x="296"/>
        <item x="691"/>
        <item x="308"/>
        <item x="189"/>
        <item x="295"/>
        <item x="342"/>
        <item x="264"/>
        <item x="200"/>
        <item x="313"/>
        <item x="169"/>
        <item x="779"/>
        <item x="207"/>
        <item x="787"/>
        <item x="252"/>
        <item x="79"/>
        <item x="376"/>
        <item x="499"/>
        <item x="465"/>
        <item x="398"/>
        <item x="536"/>
        <item x="115"/>
        <item x="350"/>
        <item x="523"/>
        <item x="96"/>
        <item x="327"/>
        <item x="716"/>
        <item x="291"/>
        <item x="268"/>
        <item x="684"/>
        <item x="122"/>
        <item x="338"/>
        <item x="636"/>
        <item x="120"/>
        <item x="74"/>
        <item x="517"/>
        <item x="513"/>
        <item x="201"/>
        <item x="237"/>
        <item x="606"/>
        <item x="582"/>
        <item x="216"/>
        <item x="365"/>
        <item x="357"/>
        <item x="672"/>
        <item x="395"/>
        <item x="584"/>
        <item x="423"/>
        <item x="121"/>
        <item x="152"/>
        <item x="617"/>
        <item x="439"/>
        <item x="384"/>
        <item x="456"/>
        <item x="119"/>
        <item x="69"/>
        <item x="393"/>
        <item x="316"/>
        <item x="112"/>
        <item x="649"/>
        <item x="157"/>
        <item x="229"/>
        <item x="209"/>
        <item x="396"/>
        <item x="97"/>
        <item x="467"/>
        <item x="236"/>
        <item x="547"/>
        <item x="309"/>
        <item x="136"/>
        <item x="64"/>
        <item x="263"/>
        <item x="453"/>
        <item x="340"/>
        <item x="411"/>
        <item x="477"/>
        <item x="520"/>
        <item x="160"/>
        <item x="174"/>
        <item x="561"/>
        <item x="26"/>
        <item x="99"/>
        <item x="210"/>
        <item x="106"/>
        <item x="261"/>
        <item x="143"/>
        <item x="247"/>
        <item x="270"/>
        <item x="47"/>
        <item x="41"/>
        <item x="347"/>
        <item x="580"/>
        <item x="94"/>
        <item x="587"/>
        <item x="184"/>
        <item x="192"/>
        <item x="129"/>
        <item x="144"/>
        <item x="16"/>
        <item x="176"/>
        <item x="66"/>
        <item x="255"/>
        <item x="388"/>
        <item x="446"/>
        <item x="307"/>
        <item x="371"/>
        <item x="193"/>
        <item x="164"/>
        <item x="219"/>
        <item x="125"/>
        <item x="793"/>
        <item x="276"/>
        <item x="352"/>
        <item x="107"/>
        <item x="687"/>
        <item x="141"/>
        <item x="319"/>
        <item x="480"/>
        <item x="140"/>
        <item x="88"/>
        <item x="321"/>
        <item x="218"/>
        <item x="281"/>
        <item x="530"/>
        <item x="180"/>
        <item x="147"/>
        <item x="549"/>
        <item x="203"/>
        <item x="117"/>
        <item x="551"/>
        <item x="45"/>
        <item x="153"/>
        <item x="531"/>
        <item x="262"/>
        <item x="105"/>
        <item x="387"/>
        <item x="6"/>
        <item x="84"/>
        <item x="151"/>
        <item x="49"/>
        <item x="243"/>
        <item x="89"/>
        <item x="87"/>
        <item x="124"/>
        <item x="131"/>
        <item x="90"/>
        <item x="123"/>
        <item x="197"/>
        <item x="301"/>
        <item x="185"/>
        <item x="483"/>
        <item x="52"/>
        <item x="178"/>
        <item x="38"/>
        <item x="524"/>
        <item x="349"/>
        <item x="154"/>
        <item x="77"/>
        <item x="348"/>
        <item x="10"/>
        <item x="360"/>
        <item x="168"/>
        <item x="172"/>
        <item x="179"/>
        <item x="33"/>
        <item x="108"/>
        <item x="63"/>
        <item x="57"/>
        <item x="156"/>
        <item x="177"/>
        <item x="40"/>
        <item x="111"/>
        <item x="55"/>
        <item x="114"/>
        <item x="233"/>
        <item x="54"/>
        <item x="280"/>
        <item x="68"/>
        <item x="25"/>
        <item x="130"/>
        <item x="17"/>
        <item x="195"/>
        <item x="145"/>
        <item x="137"/>
        <item x="304"/>
        <item x="225"/>
        <item x="146"/>
        <item x="231"/>
        <item x="62"/>
        <item x="118"/>
        <item x="18"/>
        <item x="37"/>
        <item x="58"/>
        <item x="202"/>
        <item x="11"/>
        <item x="72"/>
        <item x="80"/>
        <item x="165"/>
        <item x="67"/>
        <item x="300"/>
        <item x="23"/>
        <item x="43"/>
        <item x="4"/>
        <item x="73"/>
        <item x="198"/>
        <item x="175"/>
        <item x="401"/>
        <item x="39"/>
        <item x="138"/>
        <item x="28"/>
        <item x="142"/>
        <item x="9"/>
        <item x="238"/>
        <item x="166"/>
        <item x="48"/>
        <item x="101"/>
        <item x="104"/>
        <item x="128"/>
        <item x="60"/>
        <item x="59"/>
        <item x="91"/>
        <item x="126"/>
        <item x="103"/>
        <item x="5"/>
        <item x="34"/>
        <item x="22"/>
        <item x="13"/>
        <item x="44"/>
        <item x="32"/>
        <item x="27"/>
        <item x="65"/>
        <item x="76"/>
        <item x="234"/>
        <item x="53"/>
        <item x="8"/>
        <item x="12"/>
        <item x="20"/>
        <item x="61"/>
        <item x="46"/>
        <item x="14"/>
        <item x="42"/>
        <item x="163"/>
        <item x="56"/>
        <item x="36"/>
        <item x="86"/>
        <item x="81"/>
        <item x="51"/>
        <item x="253"/>
        <item x="24"/>
        <item x="29"/>
        <item x="102"/>
        <item x="50"/>
        <item x="15"/>
        <item x="35"/>
        <item x="95"/>
        <item x="19"/>
        <item x="3"/>
        <item x="7"/>
        <item x="21"/>
        <item x="2"/>
        <item x="30"/>
        <item x="1"/>
        <item x="0"/>
        <item t="default"/>
      </items>
    </pivotField>
    <pivotField showAll="0"/>
    <pivotField numFmtId="165" showAll="0"/>
    <pivotField dragToRow="0" dragToCol="0" dragToPage="0" showAll="0" defaultSubtotal="0"/>
    <pivotField dragToRow="0" dragToCol="0" dragToPage="0" showAll="0" defaultSubtotal="0"/>
  </pivotFields>
  <rowFields count="1">
    <field x="6"/>
  </rowFields>
  <rowItems count="16">
    <i>
      <x v="289"/>
    </i>
    <i>
      <x v="604"/>
    </i>
    <i>
      <x v="346"/>
    </i>
    <i>
      <x v="148"/>
    </i>
    <i>
      <x v="488"/>
    </i>
    <i>
      <x v="298"/>
    </i>
    <i>
      <x v="536"/>
    </i>
    <i>
      <x v="121"/>
    </i>
    <i>
      <x v="165"/>
    </i>
    <i>
      <x v="370"/>
    </i>
    <i>
      <x v="93"/>
    </i>
    <i>
      <x v="521"/>
    </i>
    <i>
      <x v="104"/>
    </i>
    <i>
      <x v="332"/>
    </i>
    <i>
      <x v="267"/>
    </i>
    <i t="grand">
      <x/>
    </i>
  </rowItems>
  <colFields count="1">
    <field x="-2"/>
  </colFields>
  <colItems count="2">
    <i>
      <x/>
    </i>
    <i i="1">
      <x v="1"/>
    </i>
  </colItems>
  <dataFields count="2">
    <dataField name="Max of International Box Office" fld="9" subtotal="max" baseField="6" baseItem="0"/>
    <dataField name="International Box Office totals" fld="9" baseField="6" baseItem="582"/>
  </dataFields>
  <formats count="54">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1">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0">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9">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8">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7">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6">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5">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4">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3">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2">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1">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80">
      <pivotArea dataOnly="0" labelOnly="1" fieldPosition="0">
        <references count="1">
          <reference field="6" count="21">
            <x v="600"/>
            <x v="601"/>
            <x v="602"/>
            <x v="603"/>
            <x v="604"/>
            <x v="605"/>
            <x v="606"/>
            <x v="607"/>
            <x v="608"/>
            <x v="609"/>
            <x v="610"/>
            <x v="611"/>
            <x v="612"/>
            <x v="613"/>
            <x v="614"/>
            <x v="615"/>
            <x v="616"/>
            <x v="617"/>
            <x v="618"/>
            <x v="619"/>
            <x v="620"/>
          </reference>
        </references>
      </pivotArea>
    </format>
    <format dxfId="79">
      <pivotArea dataOnly="0" labelOnly="1" grandRow="1" outline="0" fieldPosition="0"/>
    </format>
    <format dxfId="78">
      <pivotArea dataOnly="0" labelOnly="1" outline="0" fieldPosition="0">
        <references count="1">
          <reference field="4294967294" count="2">
            <x v="0"/>
            <x v="1"/>
          </reference>
        </references>
      </pivotArea>
    </format>
    <format dxfId="77">
      <pivotArea type="all" dataOnly="0" outline="0" fieldPosition="0"/>
    </format>
    <format dxfId="76">
      <pivotArea outline="0" collapsedLevelsAreSubtotals="1" fieldPosition="0"/>
    </format>
    <format dxfId="75">
      <pivotArea field="6" type="button" dataOnly="0" labelOnly="1" outline="0" axis="axisRow" fieldPosition="0"/>
    </format>
    <format dxfId="74">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3">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2">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1">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0">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9">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8">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7">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6">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5">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4">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3">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2">
      <pivotArea dataOnly="0" labelOnly="1" fieldPosition="0">
        <references count="1">
          <reference field="6" count="21">
            <x v="600"/>
            <x v="601"/>
            <x v="602"/>
            <x v="603"/>
            <x v="604"/>
            <x v="605"/>
            <x v="606"/>
            <x v="607"/>
            <x v="608"/>
            <x v="609"/>
            <x v="610"/>
            <x v="611"/>
            <x v="612"/>
            <x v="613"/>
            <x v="614"/>
            <x v="615"/>
            <x v="616"/>
            <x v="617"/>
            <x v="618"/>
            <x v="619"/>
            <x v="620"/>
          </reference>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5">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4">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3">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2">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1">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0">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9">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8">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7">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6">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5">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4">
      <pivotArea dataOnly="0" labelOnly="1" fieldPosition="0">
        <references count="1">
          <reference field="6" count="21">
            <x v="600"/>
            <x v="601"/>
            <x v="602"/>
            <x v="603"/>
            <x v="604"/>
            <x v="605"/>
            <x v="606"/>
            <x v="607"/>
            <x v="608"/>
            <x v="609"/>
            <x v="610"/>
            <x v="611"/>
            <x v="612"/>
            <x v="613"/>
            <x v="614"/>
            <x v="615"/>
            <x v="616"/>
            <x v="617"/>
            <x v="618"/>
            <x v="619"/>
            <x v="620"/>
          </reference>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s>
  <pivotTableStyleInfo name="PivotStyleLight21" showRowHeaders="1" showColHeaders="1" showRowStripes="0" showColStripes="0" showLastColumn="1"/>
  <filters count="1">
    <filter fld="6"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Produced2" xr10:uid="{641BF597-FED8-4736-BB43-3E21F585F25F}" sourceName="Year Produced">
  <pivotTables>
    <pivotTable tabId="10" name="PivotTable24"/>
    <pivotTable tabId="6" name="PivotTable1"/>
    <pivotTable tabId="10" name="PivotTable17"/>
    <pivotTable tabId="10" name="PivotTable18"/>
    <pivotTable tabId="10" name="PivotTable19"/>
    <pivotTable tabId="10" name="PivotTable20"/>
    <pivotTable tabId="10" name="PivotTable21"/>
    <pivotTable tabId="10" name="PivotTable22"/>
  </pivotTables>
  <data>
    <tabular pivotCacheId="603820377">
      <items count="61">
        <i x="37" s="1"/>
        <i x="35" s="1"/>
        <i x="57" s="1"/>
        <i x="49" s="1"/>
        <i x="56" s="1"/>
        <i x="55" s="1"/>
        <i x="54" s="1"/>
        <i x="58" s="1"/>
        <i x="60" s="1"/>
        <i x="43" s="1"/>
        <i x="51" s="1"/>
        <i x="42" s="1"/>
        <i x="44" s="1"/>
        <i x="50" s="1"/>
        <i x="48" s="1"/>
        <i x="53" s="1"/>
        <i x="45" s="1"/>
        <i x="34" s="1"/>
        <i x="46" s="1"/>
        <i x="26" s="1"/>
        <i x="47" s="1"/>
        <i x="6" s="1"/>
        <i x="38" s="1"/>
        <i x="52" s="1"/>
        <i x="23" s="1"/>
        <i x="28" s="1"/>
        <i x="8" s="1"/>
        <i x="21" s="1"/>
        <i x="29" s="1"/>
        <i x="32" s="1"/>
        <i x="39" s="1"/>
        <i x="41" s="1"/>
        <i x="40" s="1"/>
        <i x="27" s="1"/>
        <i x="24" s="1"/>
        <i x="30" s="1"/>
        <i x="33" s="1"/>
        <i x="15" s="1"/>
        <i x="11" s="1"/>
        <i x="36" s="1"/>
        <i x="22" s="1"/>
        <i x="1" s="1"/>
        <i x="31" s="1"/>
        <i x="5" s="1"/>
        <i x="25" s="1"/>
        <i x="20" s="1"/>
        <i x="14" s="1"/>
        <i x="16" s="1"/>
        <i x="7" s="1"/>
        <i x="17" s="1"/>
        <i x="10" s="1"/>
        <i x="19" s="1"/>
        <i x="4" s="1"/>
        <i x="0" s="1"/>
        <i x="12" s="1"/>
        <i x="13" s="1"/>
        <i x="3" s="1"/>
        <i x="9" s="1"/>
        <i x="18" s="1"/>
        <i x="2" s="1"/>
        <i x="5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Produced" xr10:uid="{6172EFBB-D84E-4CC5-B427-35DD066DA5E2}" sourceName="Year Produced">
  <pivotTables>
    <pivotTable tabId="5" name="PivotTable28"/>
    <pivotTable tabId="10" name="PivotTable15"/>
    <pivotTable tabId="10" name="PivotTable16"/>
  </pivotTables>
  <data>
    <tabular pivotCacheId="603820377">
      <items count="61">
        <i x="37" s="1"/>
        <i x="35" s="1"/>
        <i x="57" s="1"/>
        <i x="49" s="1"/>
        <i x="56" s="1"/>
        <i x="55" s="1"/>
        <i x="54" s="1"/>
        <i x="58" s="1"/>
        <i x="60" s="1"/>
        <i x="43" s="1"/>
        <i x="51" s="1"/>
        <i x="42" s="1"/>
        <i x="44" s="1"/>
        <i x="50" s="1"/>
        <i x="48" s="1"/>
        <i x="53" s="1"/>
        <i x="45" s="1"/>
        <i x="34" s="1"/>
        <i x="46" s="1"/>
        <i x="26" s="1"/>
        <i x="47" s="1"/>
        <i x="6" s="1"/>
        <i x="38" s="1"/>
        <i x="52" s="1"/>
        <i x="23" s="1"/>
        <i x="28" s="1"/>
        <i x="8" s="1"/>
        <i x="21" s="1"/>
        <i x="29" s="1"/>
        <i x="32" s="1"/>
        <i x="39" s="1"/>
        <i x="41" s="1"/>
        <i x="40" s="1"/>
        <i x="27" s="1"/>
        <i x="24" s="1"/>
        <i x="30" s="1"/>
        <i x="33" s="1"/>
        <i x="15" s="1"/>
        <i x="11" s="1"/>
        <i x="36" s="1"/>
        <i x="22" s="1"/>
        <i x="1" s="1"/>
        <i x="31" s="1"/>
        <i x="5" s="1"/>
        <i x="25" s="1"/>
        <i x="20" s="1"/>
        <i x="14" s="1"/>
        <i x="16" s="1"/>
        <i x="7" s="1"/>
        <i x="17" s="1"/>
        <i x="10" s="1"/>
        <i x="19" s="1"/>
        <i x="4" s="1"/>
        <i x="0" s="1"/>
        <i x="12" s="1"/>
        <i x="13" s="1"/>
        <i x="3" s="1"/>
        <i x="9" s="1"/>
        <i x="18" s="1"/>
        <i x="2"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Produced" xr10:uid="{37F8C2D2-9750-410B-A06D-01C80AE727F4}" cache="Slicer_Year_Produced" caption="Year Produced" style="SlicerStyleDark2"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Produced 1" xr10:uid="{EC4438A7-5AEC-4075-B494-E92AC5BB3A42}" cache="Slicer_Year_Produced2" caption="Year Produce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Produced 2" xr10:uid="{D24FE687-8F98-40D1-9CA3-695CF7A60016}" cache="Slicer_Year_Produced2" caption="Year Produced" style="SlicerStyleLight6"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hyperlink" Target="https://support.microsoft.com/en-au/office/maxifs-function-dfd611e6-da2c-488a-919b-9b6376b288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A90C-718F-4F8E-8DEE-2DFC223812B2}">
  <dimension ref="C9:F19"/>
  <sheetViews>
    <sheetView showGridLines="0" showRowColHeaders="0" topLeftCell="A11" zoomScale="77" workbookViewId="0">
      <selection activeCell="A19" sqref="A19"/>
    </sheetView>
  </sheetViews>
  <sheetFormatPr defaultRowHeight="15.5" x14ac:dyDescent="0.35"/>
  <cols>
    <col min="1" max="1" width="12" bestFit="1" customWidth="1"/>
    <col min="2" max="2" width="26.58203125" bestFit="1" customWidth="1"/>
    <col min="3" max="3" width="20.5" bestFit="1" customWidth="1"/>
    <col min="4" max="4" width="27.5" bestFit="1" customWidth="1"/>
    <col min="5" max="5" width="30.5" bestFit="1" customWidth="1"/>
    <col min="6" max="6" width="20.4140625" bestFit="1" customWidth="1"/>
  </cols>
  <sheetData>
    <row r="9" spans="3:6" x14ac:dyDescent="0.35">
      <c r="C9" s="50" t="s">
        <v>1664</v>
      </c>
      <c r="D9" s="54" t="s">
        <v>1660</v>
      </c>
      <c r="E9" s="54" t="s">
        <v>1661</v>
      </c>
      <c r="F9" s="54" t="s">
        <v>1659</v>
      </c>
    </row>
    <row r="10" spans="3:6" x14ac:dyDescent="0.35">
      <c r="C10" s="57" t="s">
        <v>1654</v>
      </c>
      <c r="D10" s="81">
        <v>216563339.9375</v>
      </c>
      <c r="E10" s="81">
        <v>264406808.85416666</v>
      </c>
      <c r="F10" s="81">
        <v>23086567142</v>
      </c>
    </row>
    <row r="11" spans="3:6" x14ac:dyDescent="0.35">
      <c r="C11" s="57" t="s">
        <v>1653</v>
      </c>
      <c r="D11" s="81">
        <v>173475312.89655173</v>
      </c>
      <c r="E11" s="81">
        <v>269030738.63793105</v>
      </c>
      <c r="F11" s="81">
        <v>51330701978</v>
      </c>
    </row>
    <row r="12" spans="3:6" x14ac:dyDescent="0.35">
      <c r="C12" s="57" t="s">
        <v>1649</v>
      </c>
      <c r="D12" s="81">
        <v>162565087.11206895</v>
      </c>
      <c r="E12" s="81">
        <v>261615010.56034482</v>
      </c>
      <c r="F12" s="81">
        <v>49204891330</v>
      </c>
    </row>
    <row r="13" spans="3:6" x14ac:dyDescent="0.35">
      <c r="C13" s="57" t="s">
        <v>1651</v>
      </c>
      <c r="D13" s="81">
        <v>162249527.57723576</v>
      </c>
      <c r="E13" s="81">
        <v>228887728.02439025</v>
      </c>
      <c r="F13" s="81">
        <v>48109882439</v>
      </c>
    </row>
    <row r="14" spans="3:6" x14ac:dyDescent="0.35">
      <c r="C14" s="57" t="s">
        <v>1650</v>
      </c>
      <c r="D14" s="81">
        <v>132096423.15909091</v>
      </c>
      <c r="E14" s="81">
        <v>174555087.79545453</v>
      </c>
      <c r="F14" s="81">
        <v>26985332964</v>
      </c>
    </row>
    <row r="15" spans="3:6" x14ac:dyDescent="0.35">
      <c r="C15" s="57" t="s">
        <v>1647</v>
      </c>
      <c r="D15" s="81">
        <v>126087966.48</v>
      </c>
      <c r="E15" s="81">
        <v>132787456.06</v>
      </c>
      <c r="F15" s="81">
        <v>12943771127</v>
      </c>
    </row>
    <row r="16" spans="3:6" x14ac:dyDescent="0.35">
      <c r="C16" s="57" t="s">
        <v>1646</v>
      </c>
      <c r="D16" s="81">
        <v>115172123.62053572</v>
      </c>
      <c r="E16" s="81">
        <v>139030775.41964287</v>
      </c>
      <c r="F16" s="81">
        <v>113882898770</v>
      </c>
    </row>
    <row r="17" spans="3:6" x14ac:dyDescent="0.35">
      <c r="C17" s="57" t="s">
        <v>1648</v>
      </c>
      <c r="D17" s="81">
        <v>93988330.799999997</v>
      </c>
      <c r="E17" s="81">
        <v>105329182.09999999</v>
      </c>
      <c r="F17" s="81">
        <v>1993175129</v>
      </c>
    </row>
    <row r="18" spans="3:6" x14ac:dyDescent="0.35">
      <c r="C18" s="57" t="s">
        <v>1652</v>
      </c>
      <c r="D18" s="81">
        <v>83320000</v>
      </c>
      <c r="E18" s="81">
        <v>102034442</v>
      </c>
      <c r="F18" s="81">
        <v>185354442</v>
      </c>
    </row>
    <row r="19" spans="3:6" x14ac:dyDescent="0.35">
      <c r="C19" s="57" t="s">
        <v>1658</v>
      </c>
      <c r="D19" s="81">
        <v>139881616.86199999</v>
      </c>
      <c r="E19" s="81">
        <v>187840958.45899999</v>
      </c>
      <c r="F19" s="83">
        <v>327722575321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9182-AFEF-48E6-8B25-26D9F35C70A0}">
  <dimension ref="A1:W678"/>
  <sheetViews>
    <sheetView topLeftCell="R7" workbookViewId="0">
      <selection activeCell="T9" sqref="T9:W19"/>
    </sheetView>
  </sheetViews>
  <sheetFormatPr defaultRowHeight="15.5" x14ac:dyDescent="0.35"/>
  <cols>
    <col min="1" max="1" width="13.83203125" bestFit="1" customWidth="1"/>
    <col min="2" max="2" width="23.4140625" bestFit="1" customWidth="1"/>
    <col min="3" max="3" width="26.6640625" bestFit="1" customWidth="1"/>
    <col min="4" max="4" width="18.83203125" bestFit="1" customWidth="1"/>
    <col min="5" max="5" width="22.4140625" bestFit="1" customWidth="1"/>
    <col min="6" max="7" width="26.6640625" bestFit="1" customWidth="1"/>
    <col min="8" max="8" width="11.75" bestFit="1" customWidth="1"/>
    <col min="9" max="9" width="12" bestFit="1" customWidth="1"/>
    <col min="10" max="10" width="20.4140625" bestFit="1" customWidth="1"/>
    <col min="11" max="11" width="26.58203125" bestFit="1" customWidth="1"/>
    <col min="12" max="12" width="29.83203125" bestFit="1" customWidth="1"/>
    <col min="13" max="13" width="19.9140625" bestFit="1" customWidth="1"/>
    <col min="14" max="14" width="10.5" bestFit="1" customWidth="1"/>
    <col min="15" max="19" width="4.75" bestFit="1" customWidth="1"/>
    <col min="20" max="20" width="20.4140625" bestFit="1" customWidth="1"/>
    <col min="21" max="21" width="26.58203125" bestFit="1" customWidth="1"/>
    <col min="22" max="22" width="29.83203125" bestFit="1" customWidth="1"/>
    <col min="23" max="24" width="19.9140625" bestFit="1" customWidth="1"/>
    <col min="25" max="65" width="4.75" bestFit="1" customWidth="1"/>
    <col min="66" max="66" width="10.5" bestFit="1" customWidth="1"/>
    <col min="67" max="67" width="18.83203125" bestFit="1" customWidth="1"/>
    <col min="68" max="68" width="9.4140625" bestFit="1" customWidth="1"/>
    <col min="69" max="70" width="18.83203125" bestFit="1" customWidth="1"/>
    <col min="71" max="71" width="9.4140625" bestFit="1" customWidth="1"/>
    <col min="72" max="74" width="18.83203125" bestFit="1" customWidth="1"/>
    <col min="75" max="75" width="9.4140625" bestFit="1" customWidth="1"/>
    <col min="76" max="80" width="18.83203125" bestFit="1" customWidth="1"/>
    <col min="81" max="81" width="9.4140625" bestFit="1" customWidth="1"/>
    <col min="82" max="83" width="18.83203125" bestFit="1" customWidth="1"/>
    <col min="84" max="84" width="9.4140625" bestFit="1" customWidth="1"/>
    <col min="85" max="88" width="18.83203125" bestFit="1" customWidth="1"/>
    <col min="89" max="89" width="9.4140625" bestFit="1" customWidth="1"/>
    <col min="90" max="93" width="18.83203125" bestFit="1" customWidth="1"/>
    <col min="94" max="94" width="9.4140625" bestFit="1" customWidth="1"/>
    <col min="95" max="98" width="18.83203125" bestFit="1" customWidth="1"/>
    <col min="99" max="99" width="9.4140625" bestFit="1" customWidth="1"/>
    <col min="100" max="102" width="18.83203125" bestFit="1" customWidth="1"/>
    <col min="103" max="103" width="9.4140625" bestFit="1" customWidth="1"/>
    <col min="104" max="105" width="18.83203125" bestFit="1" customWidth="1"/>
    <col min="106" max="106" width="9.4140625" bestFit="1" customWidth="1"/>
    <col min="107" max="112" width="18.83203125" bestFit="1" customWidth="1"/>
    <col min="113" max="113" width="9.4140625" bestFit="1" customWidth="1"/>
    <col min="114" max="118" width="18.83203125" bestFit="1" customWidth="1"/>
    <col min="119" max="119" width="9.4140625" bestFit="1" customWidth="1"/>
    <col min="120" max="125" width="18.83203125" bestFit="1" customWidth="1"/>
    <col min="126" max="126" width="9.4140625" bestFit="1" customWidth="1"/>
    <col min="127" max="130" width="18.83203125" bestFit="1" customWidth="1"/>
    <col min="131" max="131" width="9.4140625" bestFit="1" customWidth="1"/>
    <col min="132" max="134" width="18.83203125" bestFit="1" customWidth="1"/>
    <col min="135" max="135" width="9.4140625" bestFit="1" customWidth="1"/>
    <col min="136" max="140" width="18.83203125" bestFit="1" customWidth="1"/>
    <col min="141" max="141" width="9.4140625" bestFit="1" customWidth="1"/>
    <col min="142" max="148" width="18.83203125" bestFit="1" customWidth="1"/>
    <col min="149" max="149" width="9.4140625" bestFit="1" customWidth="1"/>
    <col min="150" max="153" width="18.83203125" bestFit="1" customWidth="1"/>
    <col min="154" max="154" width="9.4140625" bestFit="1" customWidth="1"/>
    <col min="155" max="159" width="18.83203125" bestFit="1" customWidth="1"/>
    <col min="160" max="160" width="9.4140625" bestFit="1" customWidth="1"/>
    <col min="161" max="168" width="18.83203125" bestFit="1" customWidth="1"/>
    <col min="169" max="169" width="9.4140625" bestFit="1" customWidth="1"/>
    <col min="170" max="175" width="18.83203125" bestFit="1" customWidth="1"/>
    <col min="176" max="176" width="9.4140625" bestFit="1" customWidth="1"/>
    <col min="177" max="183" width="18.83203125" bestFit="1" customWidth="1"/>
    <col min="184" max="184" width="9.4140625" bestFit="1" customWidth="1"/>
    <col min="185" max="190" width="18.83203125" bestFit="1" customWidth="1"/>
    <col min="191" max="191" width="9.4140625" bestFit="1" customWidth="1"/>
    <col min="192" max="199" width="18.83203125" bestFit="1" customWidth="1"/>
    <col min="200" max="200" width="9.4140625" bestFit="1" customWidth="1"/>
    <col min="201" max="206" width="18.83203125" bestFit="1" customWidth="1"/>
    <col min="207" max="207" width="9.4140625" bestFit="1" customWidth="1"/>
    <col min="208" max="215" width="18.83203125" bestFit="1" customWidth="1"/>
    <col min="216" max="216" width="9.4140625" bestFit="1" customWidth="1"/>
    <col min="217" max="224" width="18.83203125" bestFit="1" customWidth="1"/>
    <col min="225" max="225" width="9.4140625" bestFit="1" customWidth="1"/>
    <col min="226" max="233" width="18.83203125" bestFit="1" customWidth="1"/>
    <col min="234" max="234" width="9.4140625" bestFit="1" customWidth="1"/>
    <col min="235" max="241" width="18.83203125" bestFit="1" customWidth="1"/>
    <col min="242" max="242" width="9.4140625" bestFit="1" customWidth="1"/>
    <col min="243" max="249" width="18.83203125" bestFit="1" customWidth="1"/>
    <col min="250" max="250" width="9.4140625" bestFit="1" customWidth="1"/>
    <col min="251" max="258" width="18.83203125" bestFit="1" customWidth="1"/>
    <col min="259" max="259" width="9.4140625" bestFit="1" customWidth="1"/>
    <col min="260" max="267" width="18.83203125" bestFit="1" customWidth="1"/>
    <col min="268" max="268" width="9.4140625" bestFit="1" customWidth="1"/>
    <col min="269" max="275" width="18.83203125" bestFit="1" customWidth="1"/>
    <col min="276" max="276" width="9.4140625" bestFit="1" customWidth="1"/>
    <col min="277" max="283" width="18.83203125" bestFit="1" customWidth="1"/>
    <col min="284" max="284" width="9.4140625" bestFit="1" customWidth="1"/>
    <col min="285" max="292" width="18.83203125" bestFit="1" customWidth="1"/>
    <col min="293" max="293" width="9.4140625" bestFit="1" customWidth="1"/>
    <col min="294" max="300" width="18.83203125" bestFit="1" customWidth="1"/>
    <col min="301" max="301" width="9.4140625" bestFit="1" customWidth="1"/>
    <col min="302" max="307" width="18.83203125" bestFit="1" customWidth="1"/>
    <col min="308" max="308" width="9.4140625" bestFit="1" customWidth="1"/>
    <col min="309" max="309" width="7.08203125" bestFit="1" customWidth="1"/>
    <col min="310" max="310" width="9.4140625" bestFit="1" customWidth="1"/>
    <col min="311" max="311" width="10.5" bestFit="1" customWidth="1"/>
    <col min="312" max="318" width="27.1640625" bestFit="1" customWidth="1"/>
    <col min="319" max="319" width="23.58203125" bestFit="1" customWidth="1"/>
    <col min="320" max="320" width="9.4140625" bestFit="1" customWidth="1"/>
    <col min="321" max="321" width="14.75" bestFit="1" customWidth="1"/>
    <col min="322" max="322" width="17.75" bestFit="1" customWidth="1"/>
    <col min="323" max="323" width="14.25" bestFit="1" customWidth="1"/>
    <col min="324" max="324" width="17.33203125" bestFit="1" customWidth="1"/>
    <col min="325" max="335" width="20.58203125" bestFit="1" customWidth="1"/>
    <col min="336" max="336" width="23.58203125" bestFit="1" customWidth="1"/>
    <col min="337" max="337" width="9.4140625" bestFit="1" customWidth="1"/>
    <col min="338" max="339" width="19.1640625" bestFit="1" customWidth="1"/>
    <col min="340" max="340" width="17.75" bestFit="1" customWidth="1"/>
    <col min="341" max="343" width="14.83203125" bestFit="1" customWidth="1"/>
    <col min="344" max="346" width="16.33203125" bestFit="1" customWidth="1"/>
    <col min="347" max="347" width="19.33203125" bestFit="1" customWidth="1"/>
    <col min="348" max="349" width="44.25" bestFit="1" customWidth="1"/>
    <col min="350" max="350" width="11.75" bestFit="1" customWidth="1"/>
    <col min="351" max="358" width="22.9140625" bestFit="1" customWidth="1"/>
    <col min="359" max="359" width="23.58203125" bestFit="1" customWidth="1"/>
    <col min="360" max="360" width="9.4140625" bestFit="1" customWidth="1"/>
    <col min="361" max="361" width="13.9140625" bestFit="1" customWidth="1"/>
    <col min="362" max="362" width="14.6640625" bestFit="1" customWidth="1"/>
    <col min="363" max="363" width="14.75" bestFit="1" customWidth="1"/>
    <col min="364" max="364" width="17.75" bestFit="1" customWidth="1"/>
    <col min="365" max="365" width="11.83203125" bestFit="1" customWidth="1"/>
    <col min="366" max="366" width="14.83203125" bestFit="1" customWidth="1"/>
    <col min="367" max="368" width="26.6640625" bestFit="1" customWidth="1"/>
    <col min="369" max="369" width="19.33203125" bestFit="1" customWidth="1"/>
    <col min="370" max="372" width="13.33203125" bestFit="1" customWidth="1"/>
    <col min="373" max="373" width="11.75" bestFit="1" customWidth="1"/>
    <col min="374" max="375" width="14.25" bestFit="1" customWidth="1"/>
    <col min="376" max="376" width="17.33203125" bestFit="1" customWidth="1"/>
    <col min="377" max="388" width="27.4140625" bestFit="1" customWidth="1"/>
    <col min="389" max="389" width="23.58203125" bestFit="1" customWidth="1"/>
    <col min="390" max="390" width="9.4140625" bestFit="1" customWidth="1"/>
    <col min="391" max="392" width="19.4140625" bestFit="1" customWidth="1"/>
    <col min="393" max="393" width="17.75" bestFit="1" customWidth="1"/>
    <col min="394" max="396" width="17.08203125" bestFit="1" customWidth="1"/>
    <col min="397" max="397" width="14.83203125" bestFit="1" customWidth="1"/>
    <col min="398" max="399" width="26.25" bestFit="1" customWidth="1"/>
    <col min="400" max="400" width="19.33203125" bestFit="1" customWidth="1"/>
    <col min="401" max="413" width="20.58203125" bestFit="1" customWidth="1"/>
    <col min="414" max="414" width="23.58203125" bestFit="1" customWidth="1"/>
    <col min="415" max="415" width="9.4140625" bestFit="1" customWidth="1"/>
    <col min="416" max="416" width="14.25" bestFit="1" customWidth="1"/>
    <col min="417" max="417" width="14.6640625" bestFit="1" customWidth="1"/>
    <col min="418" max="420" width="24.5" bestFit="1" customWidth="1"/>
    <col min="421" max="421" width="17.75" bestFit="1" customWidth="1"/>
    <col min="422" max="423" width="18.33203125" bestFit="1" customWidth="1"/>
    <col min="424" max="424" width="14.83203125" bestFit="1" customWidth="1"/>
    <col min="425" max="426" width="16.33203125" bestFit="1" customWidth="1"/>
    <col min="427" max="427" width="19.33203125" bestFit="1" customWidth="1"/>
    <col min="428" max="438" width="29.33203125" bestFit="1" customWidth="1"/>
    <col min="439" max="439" width="23.58203125" bestFit="1" customWidth="1"/>
    <col min="440" max="440" width="9.4140625" bestFit="1" customWidth="1"/>
    <col min="441" max="441" width="11.6640625" bestFit="1" customWidth="1"/>
    <col min="442" max="442" width="14.6640625" bestFit="1" customWidth="1"/>
    <col min="443" max="447" width="23.58203125" bestFit="1" customWidth="1"/>
    <col min="448" max="448" width="17.75" bestFit="1" customWidth="1"/>
    <col min="449" max="451" width="16.1640625" bestFit="1" customWidth="1"/>
    <col min="452" max="452" width="14.83203125" bestFit="1" customWidth="1"/>
    <col min="453" max="456" width="17.58203125" bestFit="1" customWidth="1"/>
    <col min="457" max="457" width="19.33203125" bestFit="1" customWidth="1"/>
    <col min="458" max="459" width="11.83203125" bestFit="1" customWidth="1"/>
    <col min="460" max="460" width="11.75" bestFit="1" customWidth="1"/>
    <col min="461" max="461" width="8.5" bestFit="1" customWidth="1"/>
    <col min="462" max="462" width="11.4140625" bestFit="1" customWidth="1"/>
    <col min="463" max="464" width="16.5" bestFit="1" customWidth="1"/>
    <col min="465" max="465" width="17.33203125" bestFit="1" customWidth="1"/>
    <col min="466" max="476" width="26.5" bestFit="1" customWidth="1"/>
    <col min="477" max="477" width="23.58203125" bestFit="1" customWidth="1"/>
    <col min="478" max="478" width="9.4140625" bestFit="1" customWidth="1"/>
    <col min="479" max="481" width="31.9140625" bestFit="1" customWidth="1"/>
    <col min="482" max="482" width="17.75" bestFit="1" customWidth="1"/>
    <col min="483" max="486" width="22.33203125" bestFit="1" customWidth="1"/>
    <col min="487" max="487" width="14.83203125" bestFit="1" customWidth="1"/>
    <col min="488" max="491" width="20.58203125" bestFit="1" customWidth="1"/>
    <col min="492" max="492" width="19.33203125" bestFit="1" customWidth="1"/>
    <col min="493" max="495" width="13.5" bestFit="1" customWidth="1"/>
    <col min="496" max="496" width="11.75" bestFit="1" customWidth="1"/>
    <col min="497" max="497" width="35" bestFit="1" customWidth="1"/>
    <col min="498" max="498" width="17.33203125" bestFit="1" customWidth="1"/>
    <col min="499" max="513" width="21.4140625" bestFit="1" customWidth="1"/>
    <col min="514" max="514" width="23.58203125" bestFit="1" customWidth="1"/>
    <col min="515" max="515" width="9.4140625" bestFit="1" customWidth="1"/>
    <col min="516" max="517" width="11.6640625" bestFit="1" customWidth="1"/>
    <col min="518" max="518" width="14.6640625" bestFit="1" customWidth="1"/>
    <col min="519" max="520" width="14.75" bestFit="1" customWidth="1"/>
    <col min="521" max="521" width="17.75" bestFit="1" customWidth="1"/>
    <col min="522" max="526" width="26.9140625" bestFit="1" customWidth="1"/>
    <col min="527" max="527" width="14.83203125" bestFit="1" customWidth="1"/>
    <col min="528" max="531" width="16.33203125" bestFit="1" customWidth="1"/>
    <col min="532" max="532" width="19.33203125" bestFit="1" customWidth="1"/>
    <col min="533" max="533" width="27.25" bestFit="1" customWidth="1"/>
    <col min="534" max="534" width="11.75" bestFit="1" customWidth="1"/>
    <col min="535" max="536" width="15.4140625" bestFit="1" customWidth="1"/>
    <col min="537" max="537" width="17.33203125" bestFit="1" customWidth="1"/>
    <col min="538" max="554" width="25.58203125" bestFit="1" customWidth="1"/>
    <col min="555" max="555" width="23.58203125" bestFit="1" customWidth="1"/>
    <col min="556" max="556" width="9.4140625" bestFit="1" customWidth="1"/>
    <col min="557" max="559" width="20.4140625" bestFit="1" customWidth="1"/>
    <col min="560" max="560" width="17.75" bestFit="1" customWidth="1"/>
    <col min="561" max="566" width="23.6640625" bestFit="1" customWidth="1"/>
    <col min="567" max="567" width="14.83203125" bestFit="1" customWidth="1"/>
    <col min="568" max="568" width="16.33203125" bestFit="1" customWidth="1"/>
    <col min="569" max="569" width="19.33203125" bestFit="1" customWidth="1"/>
    <col min="570" max="572" width="41" bestFit="1" customWidth="1"/>
    <col min="573" max="573" width="11.75" bestFit="1" customWidth="1"/>
    <col min="574" max="576" width="15.4140625" bestFit="1" customWidth="1"/>
    <col min="577" max="577" width="17.33203125" bestFit="1" customWidth="1"/>
    <col min="578" max="596" width="21.08203125" bestFit="1" customWidth="1"/>
    <col min="597" max="597" width="23.58203125" bestFit="1" customWidth="1"/>
    <col min="598" max="598" width="9.4140625" bestFit="1" customWidth="1"/>
    <col min="599" max="600" width="11.6640625" bestFit="1" customWidth="1"/>
    <col min="601" max="601" width="14.6640625" bestFit="1" customWidth="1"/>
    <col min="602" max="605" width="30.75" bestFit="1" customWidth="1"/>
    <col min="606" max="606" width="17.75" bestFit="1" customWidth="1"/>
    <col min="607" max="613" width="31.08203125" bestFit="1" customWidth="1"/>
    <col min="614" max="614" width="14.83203125" bestFit="1" customWidth="1"/>
    <col min="615" max="617" width="18.83203125" bestFit="1" customWidth="1"/>
    <col min="618" max="618" width="19.33203125" bestFit="1" customWidth="1"/>
    <col min="619" max="621" width="34.25" bestFit="1" customWidth="1"/>
    <col min="622" max="622" width="11.75" bestFit="1" customWidth="1"/>
    <col min="623" max="623" width="11.9140625" bestFit="1" customWidth="1"/>
    <col min="624" max="624" width="11.4140625" bestFit="1" customWidth="1"/>
    <col min="625" max="626" width="17.4140625" bestFit="1" customWidth="1"/>
    <col min="627" max="627" width="17.33203125" bestFit="1" customWidth="1"/>
    <col min="628" max="644" width="25.9140625" bestFit="1" customWidth="1"/>
    <col min="645" max="645" width="23.58203125" bestFit="1" customWidth="1"/>
    <col min="646" max="646" width="9.4140625" bestFit="1" customWidth="1"/>
    <col min="647" max="649" width="11.6640625" bestFit="1" customWidth="1"/>
    <col min="650" max="650" width="14.6640625" bestFit="1" customWidth="1"/>
    <col min="651" max="653" width="29.75" bestFit="1" customWidth="1"/>
    <col min="654" max="654" width="17.75" bestFit="1" customWidth="1"/>
    <col min="655" max="659" width="21" bestFit="1" customWidth="1"/>
    <col min="660" max="660" width="14.83203125" bestFit="1" customWidth="1"/>
    <col min="661" max="665" width="43.08203125" bestFit="1" customWidth="1"/>
    <col min="666" max="666" width="19.33203125" bestFit="1" customWidth="1"/>
    <col min="667" max="670" width="44.75" bestFit="1" customWidth="1"/>
    <col min="671" max="671" width="11.75" bestFit="1" customWidth="1"/>
    <col min="672" max="691" width="32.5" bestFit="1" customWidth="1"/>
    <col min="692" max="692" width="23.58203125" bestFit="1" customWidth="1"/>
    <col min="693" max="693" width="9.4140625" bestFit="1" customWidth="1"/>
    <col min="694" max="694" width="11.83203125" bestFit="1" customWidth="1"/>
    <col min="695" max="695" width="14.6640625" bestFit="1" customWidth="1"/>
    <col min="696" max="698" width="21.1640625" bestFit="1" customWidth="1"/>
    <col min="699" max="699" width="17.75" bestFit="1" customWidth="1"/>
    <col min="700" max="706" width="40.6640625" bestFit="1" customWidth="1"/>
    <col min="707" max="707" width="14.83203125" bestFit="1" customWidth="1"/>
    <col min="708" max="711" width="35.25" bestFit="1" customWidth="1"/>
    <col min="712" max="712" width="19.33203125" bestFit="1" customWidth="1"/>
    <col min="713" max="714" width="34.6640625" bestFit="1" customWidth="1"/>
    <col min="715" max="715" width="11.75" bestFit="1" customWidth="1"/>
    <col min="716" max="716" width="14" bestFit="1" customWidth="1"/>
    <col min="717" max="717" width="11.4140625" bestFit="1" customWidth="1"/>
    <col min="718" max="721" width="21.08203125" bestFit="1" customWidth="1"/>
    <col min="722" max="722" width="17.33203125" bestFit="1" customWidth="1"/>
    <col min="723" max="740" width="35" bestFit="1" customWidth="1"/>
    <col min="741" max="741" width="23.58203125" bestFit="1" customWidth="1"/>
    <col min="742" max="742" width="9.4140625" bestFit="1" customWidth="1"/>
    <col min="743" max="744" width="13" bestFit="1" customWidth="1"/>
    <col min="745" max="745" width="14.6640625" bestFit="1" customWidth="1"/>
    <col min="746" max="747" width="30.6640625" bestFit="1" customWidth="1"/>
    <col min="748" max="748" width="17.75" bestFit="1" customWidth="1"/>
    <col min="749" max="753" width="28.9140625" bestFit="1" customWidth="1"/>
    <col min="754" max="754" width="14.83203125" bestFit="1" customWidth="1"/>
    <col min="755" max="755" width="18.1640625" bestFit="1" customWidth="1"/>
    <col min="756" max="756" width="19.33203125" bestFit="1" customWidth="1"/>
    <col min="757" max="760" width="54.1640625" bestFit="1" customWidth="1"/>
    <col min="761" max="761" width="11.75" bestFit="1" customWidth="1"/>
    <col min="762" max="762" width="21.33203125" bestFit="1" customWidth="1"/>
    <col min="763" max="763" width="11.4140625" bestFit="1" customWidth="1"/>
    <col min="764" max="765" width="23.08203125" bestFit="1" customWidth="1"/>
    <col min="766" max="766" width="17.33203125" bestFit="1" customWidth="1"/>
    <col min="767" max="782" width="20.58203125" bestFit="1" customWidth="1"/>
    <col min="783" max="783" width="23.58203125" bestFit="1" customWidth="1"/>
    <col min="784" max="784" width="9.4140625" bestFit="1" customWidth="1"/>
    <col min="785" max="786" width="19.1640625" bestFit="1" customWidth="1"/>
    <col min="787" max="787" width="14.6640625" bestFit="1" customWidth="1"/>
    <col min="788" max="788" width="14.75" bestFit="1" customWidth="1"/>
    <col min="789" max="789" width="17.75" bestFit="1" customWidth="1"/>
    <col min="790" max="798" width="32.5" bestFit="1" customWidth="1"/>
    <col min="799" max="799" width="14.83203125" bestFit="1" customWidth="1"/>
    <col min="800" max="801" width="16.33203125" bestFit="1" customWidth="1"/>
    <col min="802" max="802" width="19.33203125" bestFit="1" customWidth="1"/>
    <col min="803" max="806" width="36.6640625" bestFit="1" customWidth="1"/>
    <col min="807" max="807" width="11.75" bestFit="1" customWidth="1"/>
    <col min="808" max="808" width="18.4140625" bestFit="1" customWidth="1"/>
    <col min="809" max="809" width="11.4140625" bestFit="1" customWidth="1"/>
    <col min="810" max="811" width="21.6640625" bestFit="1" customWidth="1"/>
    <col min="812" max="812" width="17.33203125" bestFit="1" customWidth="1"/>
    <col min="813" max="830" width="36.9140625" bestFit="1" customWidth="1"/>
    <col min="831" max="831" width="23.58203125" bestFit="1" customWidth="1"/>
    <col min="832" max="832" width="9.4140625" bestFit="1" customWidth="1"/>
    <col min="833" max="835" width="32.5" bestFit="1" customWidth="1"/>
    <col min="836" max="836" width="14.6640625" bestFit="1" customWidth="1"/>
    <col min="837" max="839" width="17.4140625" bestFit="1" customWidth="1"/>
    <col min="840" max="840" width="17.75" bestFit="1" customWidth="1"/>
    <col min="841" max="844" width="21.5" bestFit="1" customWidth="1"/>
    <col min="845" max="845" width="14.83203125" bestFit="1" customWidth="1"/>
    <col min="846" max="849" width="34" bestFit="1" customWidth="1"/>
    <col min="850" max="850" width="19.33203125" bestFit="1" customWidth="1"/>
    <col min="851" max="856" width="35.4140625" bestFit="1" customWidth="1"/>
    <col min="857" max="857" width="11.75" bestFit="1" customWidth="1"/>
    <col min="858" max="858" width="16.4140625" bestFit="1" customWidth="1"/>
    <col min="859" max="859" width="17.33203125" bestFit="1" customWidth="1"/>
    <col min="860" max="877" width="32.33203125" bestFit="1" customWidth="1"/>
    <col min="878" max="878" width="23.58203125" bestFit="1" customWidth="1"/>
    <col min="879" max="879" width="9.4140625" bestFit="1" customWidth="1"/>
    <col min="880" max="884" width="23.9140625" bestFit="1" customWidth="1"/>
    <col min="885" max="885" width="14.6640625" bestFit="1" customWidth="1"/>
    <col min="886" max="891" width="28.9140625" bestFit="1" customWidth="1"/>
    <col min="892" max="892" width="17.75" bestFit="1" customWidth="1"/>
    <col min="893" max="895" width="24.1640625" bestFit="1" customWidth="1"/>
    <col min="896" max="896" width="14.83203125" bestFit="1" customWidth="1"/>
    <col min="897" max="898" width="42.6640625" bestFit="1" customWidth="1"/>
    <col min="899" max="899" width="19.33203125" bestFit="1" customWidth="1"/>
    <col min="900" max="907" width="36.5" bestFit="1" customWidth="1"/>
    <col min="908" max="908" width="11.75" bestFit="1" customWidth="1"/>
    <col min="909" max="910" width="14.25" bestFit="1" customWidth="1"/>
    <col min="911" max="911" width="17.33203125" bestFit="1" customWidth="1"/>
    <col min="912" max="931" width="29.33203125" bestFit="1" customWidth="1"/>
    <col min="932" max="932" width="23.58203125" bestFit="1" customWidth="1"/>
    <col min="933" max="933" width="9.4140625" bestFit="1" customWidth="1"/>
    <col min="934" max="935" width="22" bestFit="1" customWidth="1"/>
    <col min="936" max="936" width="14.6640625" bestFit="1" customWidth="1"/>
    <col min="937" max="942" width="30.58203125" bestFit="1" customWidth="1"/>
    <col min="943" max="943" width="17.75" bestFit="1" customWidth="1"/>
    <col min="944" max="951" width="35.83203125" bestFit="1" customWidth="1"/>
    <col min="952" max="952" width="14.83203125" bestFit="1" customWidth="1"/>
    <col min="953" max="955" width="17.58203125" bestFit="1" customWidth="1"/>
    <col min="956" max="956" width="19.33203125" bestFit="1" customWidth="1"/>
    <col min="957" max="964" width="40.5" bestFit="1" customWidth="1"/>
    <col min="965" max="965" width="11.75" bestFit="1" customWidth="1"/>
    <col min="966" max="966" width="22.58203125" bestFit="1" customWidth="1"/>
    <col min="967" max="967" width="11.4140625" bestFit="1" customWidth="1"/>
    <col min="968" max="969" width="14.25" bestFit="1" customWidth="1"/>
    <col min="970" max="970" width="17.33203125" bestFit="1" customWidth="1"/>
    <col min="971" max="990" width="24.4140625" bestFit="1" customWidth="1"/>
    <col min="991" max="991" width="23.58203125" bestFit="1" customWidth="1"/>
    <col min="992" max="992" width="9.4140625" bestFit="1" customWidth="1"/>
    <col min="993" max="994" width="15.5" bestFit="1" customWidth="1"/>
    <col min="995" max="995" width="14.6640625" bestFit="1" customWidth="1"/>
    <col min="996" max="1002" width="16.1640625" bestFit="1" customWidth="1"/>
    <col min="1003" max="1003" width="17.75" bestFit="1" customWidth="1"/>
    <col min="1004" max="1009" width="16.58203125" bestFit="1" customWidth="1"/>
    <col min="1010" max="1010" width="14.83203125" bestFit="1" customWidth="1"/>
    <col min="1011" max="1013" width="16.33203125" bestFit="1" customWidth="1"/>
    <col min="1014" max="1014" width="19.33203125" bestFit="1" customWidth="1"/>
    <col min="1015" max="1026" width="49.4140625" bestFit="1" customWidth="1"/>
    <col min="1027" max="1027" width="11.75" bestFit="1" customWidth="1"/>
    <col min="1028" max="1029" width="26" bestFit="1" customWidth="1"/>
    <col min="1030" max="1030" width="11.4140625" bestFit="1" customWidth="1"/>
    <col min="1031" max="1035" width="16.6640625" bestFit="1" customWidth="1"/>
    <col min="1036" max="1036" width="17.33203125" bestFit="1" customWidth="1"/>
    <col min="1037" max="1057" width="20.58203125" bestFit="1" customWidth="1"/>
    <col min="1058" max="1058" width="23.58203125" bestFit="1" customWidth="1"/>
    <col min="1059" max="1059" width="9.4140625" bestFit="1" customWidth="1"/>
    <col min="1060" max="1063" width="29.83203125" bestFit="1" customWidth="1"/>
    <col min="1064" max="1064" width="14.6640625" bestFit="1" customWidth="1"/>
    <col min="1065" max="1074" width="27.33203125" bestFit="1" customWidth="1"/>
    <col min="1075" max="1075" width="17.75" bestFit="1" customWidth="1"/>
    <col min="1076" max="1086" width="33.33203125" bestFit="1" customWidth="1"/>
    <col min="1087" max="1087" width="14.83203125" bestFit="1" customWidth="1"/>
    <col min="1088" max="1091" width="31.9140625" bestFit="1" customWidth="1"/>
    <col min="1092" max="1092" width="19.33203125" bestFit="1" customWidth="1"/>
    <col min="1093" max="1103" width="37.5" bestFit="1" customWidth="1"/>
    <col min="1104" max="1104" width="11.75" bestFit="1" customWidth="1"/>
    <col min="1105" max="1110" width="19.9140625" bestFit="1" customWidth="1"/>
    <col min="1111" max="1111" width="17.33203125" bestFit="1" customWidth="1"/>
    <col min="1112" max="1131" width="30.9140625" bestFit="1" customWidth="1"/>
    <col min="1132" max="1132" width="23.58203125" bestFit="1" customWidth="1"/>
    <col min="1133" max="1133" width="9.4140625" bestFit="1" customWidth="1"/>
    <col min="1134" max="1138" width="21.58203125" bestFit="1" customWidth="1"/>
    <col min="1139" max="1139" width="14.6640625" bestFit="1" customWidth="1"/>
    <col min="1140" max="1142" width="19.75" bestFit="1" customWidth="1"/>
    <col min="1143" max="1143" width="17.75" bestFit="1" customWidth="1"/>
    <col min="1144" max="1149" width="32.25" bestFit="1" customWidth="1"/>
    <col min="1150" max="1150" width="14.83203125" bestFit="1" customWidth="1"/>
    <col min="1151" max="1153" width="16.33203125" bestFit="1" customWidth="1"/>
    <col min="1154" max="1154" width="19.33203125" bestFit="1" customWidth="1"/>
    <col min="1155" max="1159" width="34.5" bestFit="1" customWidth="1"/>
    <col min="1160" max="1160" width="11.75" bestFit="1" customWidth="1"/>
    <col min="1161" max="1162" width="14.25" bestFit="1" customWidth="1"/>
    <col min="1163" max="1163" width="17.33203125" bestFit="1" customWidth="1"/>
    <col min="1164" max="1176" width="20.58203125" bestFit="1" customWidth="1"/>
    <col min="1177" max="1177" width="23.58203125" bestFit="1" customWidth="1"/>
    <col min="1178" max="1178" width="9.4140625" bestFit="1" customWidth="1"/>
    <col min="1179" max="1181" width="23" bestFit="1" customWidth="1"/>
    <col min="1182" max="1182" width="14.6640625" bestFit="1" customWidth="1"/>
    <col min="1183" max="1186" width="28.1640625" bestFit="1" customWidth="1"/>
    <col min="1187" max="1187" width="17.75" bestFit="1" customWidth="1"/>
    <col min="1188" max="1196" width="31.08203125" bestFit="1" customWidth="1"/>
    <col min="1197" max="1197" width="14.83203125" bestFit="1" customWidth="1"/>
    <col min="1198" max="1200" width="19" bestFit="1" customWidth="1"/>
    <col min="1201" max="1201" width="19.33203125" bestFit="1" customWidth="1"/>
    <col min="1202" max="1207" width="31.6640625" bestFit="1" customWidth="1"/>
    <col min="1208" max="1208" width="11.75" bestFit="1" customWidth="1"/>
    <col min="1209" max="1209" width="26" bestFit="1" customWidth="1"/>
    <col min="1210" max="1210" width="11.4140625" bestFit="1" customWidth="1"/>
    <col min="1211" max="1214" width="15.5" bestFit="1" customWidth="1"/>
    <col min="1215" max="1215" width="17.33203125" bestFit="1" customWidth="1"/>
    <col min="1216" max="1226" width="20.58203125" bestFit="1" customWidth="1"/>
    <col min="1227" max="1227" width="23.58203125" bestFit="1" customWidth="1"/>
    <col min="1228" max="1228" width="9.4140625" bestFit="1" customWidth="1"/>
    <col min="1229" max="1230" width="25.6640625" bestFit="1" customWidth="1"/>
    <col min="1231" max="1231" width="14.6640625" bestFit="1" customWidth="1"/>
    <col min="1232" max="1244" width="33.33203125" bestFit="1" customWidth="1"/>
    <col min="1245" max="1245" width="17.75" bestFit="1" customWidth="1"/>
    <col min="1246" max="1251" width="37.9140625" bestFit="1" customWidth="1"/>
    <col min="1252" max="1252" width="14.83203125" bestFit="1" customWidth="1"/>
    <col min="1253" max="1254" width="16.33203125" bestFit="1" customWidth="1"/>
    <col min="1255" max="1255" width="19.33203125" bestFit="1" customWidth="1"/>
    <col min="1256" max="1260" width="35.08203125" bestFit="1" customWidth="1"/>
    <col min="1261" max="1261" width="11.75" bestFit="1" customWidth="1"/>
    <col min="1262" max="1263" width="17.25" bestFit="1" customWidth="1"/>
    <col min="1264" max="1264" width="17.33203125" bestFit="1" customWidth="1"/>
    <col min="1265" max="1275" width="24.6640625" bestFit="1" customWidth="1"/>
    <col min="1276" max="1276" width="23.58203125" bestFit="1" customWidth="1"/>
    <col min="1277" max="1277" width="9.4140625" bestFit="1" customWidth="1"/>
    <col min="1278" max="1279" width="23.75" bestFit="1" customWidth="1"/>
    <col min="1280" max="1280" width="14.6640625" bestFit="1" customWidth="1"/>
    <col min="1281" max="1287" width="26.6640625" bestFit="1" customWidth="1"/>
    <col min="1288" max="1288" width="17.75" bestFit="1" customWidth="1"/>
    <col min="1289" max="1291" width="17.6640625" bestFit="1" customWidth="1"/>
    <col min="1292" max="1292" width="14.83203125" bestFit="1" customWidth="1"/>
    <col min="1293" max="1293" width="8.83203125" bestFit="1" customWidth="1"/>
    <col min="1294" max="1294" width="11.75" bestFit="1" customWidth="1"/>
    <col min="1295" max="1296" width="20.58203125" bestFit="1" customWidth="1"/>
    <col min="1297" max="1297" width="17.33203125" bestFit="1" customWidth="1"/>
    <col min="1298" max="1305" width="30" bestFit="1" customWidth="1"/>
    <col min="1306" max="1306" width="23.58203125" bestFit="1" customWidth="1"/>
    <col min="1307" max="1307" width="9.4140625" bestFit="1" customWidth="1"/>
    <col min="1308" max="1308" width="11.5" bestFit="1" customWidth="1"/>
    <col min="1309" max="1309" width="11.75" bestFit="1" customWidth="1"/>
    <col min="1310" max="1310" width="9.4140625" bestFit="1" customWidth="1"/>
    <col min="1311" max="1311" width="10.5" bestFit="1" customWidth="1"/>
  </cols>
  <sheetData>
    <row r="1" spans="1:23" x14ac:dyDescent="0.35">
      <c r="A1" s="61" t="s">
        <v>1664</v>
      </c>
      <c r="B1" t="s">
        <v>1665</v>
      </c>
      <c r="C1" t="s">
        <v>1666</v>
      </c>
      <c r="D1" t="s">
        <v>1667</v>
      </c>
    </row>
    <row r="2" spans="1:23" x14ac:dyDescent="0.35">
      <c r="A2" s="80" t="s">
        <v>9</v>
      </c>
      <c r="B2" s="62">
        <v>760507625</v>
      </c>
      <c r="C2" s="62">
        <v>2023411357</v>
      </c>
      <c r="D2" s="62">
        <v>425000000</v>
      </c>
    </row>
    <row r="3" spans="1:23" x14ac:dyDescent="0.35">
      <c r="A3" s="80" t="s">
        <v>14</v>
      </c>
      <c r="B3" s="62">
        <v>623279547</v>
      </c>
      <c r="C3" s="62">
        <v>896200000</v>
      </c>
      <c r="D3" s="62">
        <v>225000000</v>
      </c>
    </row>
    <row r="4" spans="1:23" x14ac:dyDescent="0.35">
      <c r="A4" s="80" t="s">
        <v>12</v>
      </c>
      <c r="B4" s="62">
        <v>652188220</v>
      </c>
      <c r="C4" s="62">
        <v>1016713244</v>
      </c>
      <c r="D4" s="62">
        <v>215000000</v>
      </c>
    </row>
    <row r="5" spans="1:23" x14ac:dyDescent="0.35">
      <c r="A5" s="80" t="s">
        <v>11</v>
      </c>
      <c r="B5" s="62">
        <v>658672302</v>
      </c>
      <c r="C5" s="62">
        <v>1548943366</v>
      </c>
      <c r="D5" s="62">
        <v>200000000</v>
      </c>
    </row>
    <row r="6" spans="1:23" x14ac:dyDescent="0.35">
      <c r="A6" s="80" t="s">
        <v>15</v>
      </c>
      <c r="B6" s="62">
        <v>533345358</v>
      </c>
      <c r="C6" s="62">
        <v>469546000</v>
      </c>
      <c r="D6" s="62">
        <v>185000000</v>
      </c>
    </row>
    <row r="7" spans="1:23" x14ac:dyDescent="0.35">
      <c r="J7" s="50" t="s">
        <v>1656</v>
      </c>
      <c r="K7" s="55" t="s">
        <v>1660</v>
      </c>
      <c r="L7" s="49" t="s">
        <v>1661</v>
      </c>
      <c r="M7" s="48" t="s">
        <v>1659</v>
      </c>
    </row>
    <row r="8" spans="1:23" x14ac:dyDescent="0.35">
      <c r="J8" s="51" t="s">
        <v>1654</v>
      </c>
      <c r="K8" s="66">
        <v>216563339.9375</v>
      </c>
      <c r="L8" s="67">
        <v>264406808.85416666</v>
      </c>
      <c r="M8" s="68">
        <v>23086567142</v>
      </c>
    </row>
    <row r="9" spans="1:23" x14ac:dyDescent="0.35">
      <c r="D9" s="61" t="s">
        <v>1664</v>
      </c>
      <c r="E9" t="s">
        <v>1667</v>
      </c>
      <c r="F9" t="s">
        <v>1666</v>
      </c>
      <c r="J9" s="52" t="s">
        <v>1653</v>
      </c>
      <c r="K9" s="69">
        <v>173475312.89655173</v>
      </c>
      <c r="L9" s="63">
        <v>269030738.63793105</v>
      </c>
      <c r="M9" s="65">
        <v>51330701978</v>
      </c>
      <c r="T9" s="61" t="s">
        <v>1664</v>
      </c>
      <c r="U9" t="s">
        <v>1660</v>
      </c>
      <c r="V9" t="s">
        <v>1661</v>
      </c>
      <c r="W9" t="s">
        <v>1659</v>
      </c>
    </row>
    <row r="10" spans="1:23" x14ac:dyDescent="0.35">
      <c r="D10" s="80" t="s">
        <v>1646</v>
      </c>
      <c r="E10" s="62">
        <v>25379119975</v>
      </c>
      <c r="F10" s="62">
        <v>62285787388</v>
      </c>
      <c r="J10" s="52" t="s">
        <v>1649</v>
      </c>
      <c r="K10" s="69">
        <v>162565087.11206895</v>
      </c>
      <c r="L10" s="63">
        <v>261615010.56034482</v>
      </c>
      <c r="M10" s="65">
        <v>49204891330</v>
      </c>
      <c r="T10" s="80" t="s">
        <v>1654</v>
      </c>
      <c r="U10" s="62">
        <v>216563339.9375</v>
      </c>
      <c r="V10" s="62">
        <v>264406808.85416666</v>
      </c>
      <c r="W10" s="62">
        <v>23086567142</v>
      </c>
    </row>
    <row r="11" spans="1:23" x14ac:dyDescent="0.35">
      <c r="D11" s="80" t="s">
        <v>1653</v>
      </c>
      <c r="E11" s="62">
        <v>12398702619</v>
      </c>
      <c r="F11" s="62">
        <v>31207565682</v>
      </c>
      <c r="J11" s="52" t="s">
        <v>1651</v>
      </c>
      <c r="K11" s="69">
        <v>162249527.57723576</v>
      </c>
      <c r="L11" s="63">
        <v>228887728.02439025</v>
      </c>
      <c r="M11" s="65">
        <v>48109882439</v>
      </c>
      <c r="T11" s="80" t="s">
        <v>1653</v>
      </c>
      <c r="U11" s="62">
        <v>173475312.89655173</v>
      </c>
      <c r="V11" s="62">
        <v>269030738.63793105</v>
      </c>
      <c r="W11" s="62">
        <v>51330701978</v>
      </c>
    </row>
    <row r="12" spans="1:23" x14ac:dyDescent="0.35">
      <c r="D12" s="80" t="s">
        <v>1649</v>
      </c>
      <c r="E12" s="62">
        <v>10741838000</v>
      </c>
      <c r="F12" s="62">
        <v>30347341225</v>
      </c>
      <c r="J12" s="52" t="s">
        <v>1650</v>
      </c>
      <c r="K12" s="69">
        <v>132096423.15909091</v>
      </c>
      <c r="L12" s="63">
        <v>174555087.79545453</v>
      </c>
      <c r="M12" s="65">
        <v>26985332964</v>
      </c>
      <c r="T12" s="80" t="s">
        <v>1649</v>
      </c>
      <c r="U12" s="62">
        <v>162565087.11206895</v>
      </c>
      <c r="V12" s="62">
        <v>261615010.56034482</v>
      </c>
      <c r="W12" s="62">
        <v>49204891330</v>
      </c>
    </row>
    <row r="13" spans="1:23" x14ac:dyDescent="0.35">
      <c r="D13" s="80" t="s">
        <v>1651</v>
      </c>
      <c r="E13" s="62">
        <v>10816200000</v>
      </c>
      <c r="F13" s="62">
        <v>28153190547</v>
      </c>
      <c r="J13" s="52" t="s">
        <v>1647</v>
      </c>
      <c r="K13" s="69">
        <v>126087966.48</v>
      </c>
      <c r="L13" s="63">
        <v>132787456.06</v>
      </c>
      <c r="M13" s="65">
        <v>12943771127</v>
      </c>
      <c r="T13" s="80" t="s">
        <v>1651</v>
      </c>
      <c r="U13" s="62">
        <v>162249527.57723576</v>
      </c>
      <c r="V13" s="62">
        <v>228887728.02439025</v>
      </c>
      <c r="W13" s="62">
        <v>48109882439</v>
      </c>
    </row>
    <row r="14" spans="1:23" x14ac:dyDescent="0.35">
      <c r="J14" s="52" t="s">
        <v>1646</v>
      </c>
      <c r="K14" s="69">
        <v>115172123.62053572</v>
      </c>
      <c r="L14" s="63">
        <v>139030775.41964287</v>
      </c>
      <c r="M14" s="65">
        <v>113882898770</v>
      </c>
      <c r="T14" s="80" t="s">
        <v>1650</v>
      </c>
      <c r="U14" s="62">
        <v>132096423.15909091</v>
      </c>
      <c r="V14" s="62">
        <v>174555087.79545453</v>
      </c>
      <c r="W14" s="62">
        <v>26985332964</v>
      </c>
    </row>
    <row r="15" spans="1:23" x14ac:dyDescent="0.35">
      <c r="J15" s="52" t="s">
        <v>1648</v>
      </c>
      <c r="K15" s="69">
        <v>93988330.799999997</v>
      </c>
      <c r="L15" s="63">
        <v>105329182.09999999</v>
      </c>
      <c r="M15" s="65">
        <v>1993175129</v>
      </c>
      <c r="T15" s="80" t="s">
        <v>1647</v>
      </c>
      <c r="U15" s="62">
        <v>126087966.48</v>
      </c>
      <c r="V15" s="62">
        <v>132787456.06</v>
      </c>
      <c r="W15" s="62">
        <v>12943771127</v>
      </c>
    </row>
    <row r="16" spans="1:23" x14ac:dyDescent="0.35">
      <c r="J16" s="53" t="s">
        <v>1652</v>
      </c>
      <c r="K16" s="69">
        <v>83320000</v>
      </c>
      <c r="L16" s="63">
        <v>102034442</v>
      </c>
      <c r="M16" s="65">
        <v>185354442</v>
      </c>
      <c r="T16" s="80" t="s">
        <v>1646</v>
      </c>
      <c r="U16" s="62">
        <v>115172123.62053572</v>
      </c>
      <c r="V16" s="62">
        <v>139030775.41964287</v>
      </c>
      <c r="W16" s="62">
        <v>113882898770</v>
      </c>
    </row>
    <row r="17" spans="3:23" x14ac:dyDescent="0.35">
      <c r="J17" s="54" t="s">
        <v>1658</v>
      </c>
      <c r="K17" s="70">
        <v>139881616.86199999</v>
      </c>
      <c r="L17" s="64">
        <v>187840958.45899999</v>
      </c>
      <c r="M17" s="56">
        <v>327722575321</v>
      </c>
      <c r="T17" s="80" t="s">
        <v>1648</v>
      </c>
      <c r="U17" s="62">
        <v>93988330.799999997</v>
      </c>
      <c r="V17" s="62">
        <v>105329182.09999999</v>
      </c>
      <c r="W17" s="62">
        <v>1993175129</v>
      </c>
    </row>
    <row r="18" spans="3:23" x14ac:dyDescent="0.35">
      <c r="T18" s="80" t="s">
        <v>1652</v>
      </c>
      <c r="U18" s="62">
        <v>83320000</v>
      </c>
      <c r="V18" s="62">
        <v>102034442</v>
      </c>
      <c r="W18" s="62">
        <v>185354442</v>
      </c>
    </row>
    <row r="19" spans="3:23" x14ac:dyDescent="0.35">
      <c r="T19" s="80" t="s">
        <v>1658</v>
      </c>
      <c r="U19" s="62">
        <v>139881616.86199999</v>
      </c>
      <c r="V19" s="62">
        <v>187840958.45899999</v>
      </c>
      <c r="W19" s="82">
        <v>327722575321</v>
      </c>
    </row>
    <row r="29" spans="3:23" x14ac:dyDescent="0.35">
      <c r="C29" s="61" t="s">
        <v>1664</v>
      </c>
      <c r="D29" t="s">
        <v>1666</v>
      </c>
      <c r="E29" t="s">
        <v>1665</v>
      </c>
      <c r="F29" t="s">
        <v>1668</v>
      </c>
    </row>
    <row r="30" spans="3:23" x14ac:dyDescent="0.35">
      <c r="C30" s="80" t="s">
        <v>1607</v>
      </c>
      <c r="D30" s="62">
        <v>3506760977</v>
      </c>
      <c r="E30" s="62">
        <v>1989993745</v>
      </c>
      <c r="F30">
        <f>GETPIVOTDATA("Sum of International Box Office",$C$29,"Lead Actor","Adam Sandler")+GETPIVOTDATA("Sum of Domestic Box Office",$C$29,"Lead Actor","Adam Sandler")</f>
        <v>2385224644</v>
      </c>
    </row>
    <row r="31" spans="3:23" x14ac:dyDescent="0.35">
      <c r="C31" s="80" t="s">
        <v>1314</v>
      </c>
      <c r="D31" s="62">
        <v>3177467961</v>
      </c>
      <c r="E31" s="62">
        <v>1897661308</v>
      </c>
      <c r="F31">
        <f t="shared" ref="F31:F94" si="0">GETPIVOTDATA("Sum of International Box Office",$C$29,"Lead Actor","Adam Sandler")+GETPIVOTDATA("Sum of Domestic Box Office",$C$29,"Lead Actor","Adam Sandler")</f>
        <v>2385224644</v>
      </c>
    </row>
    <row r="32" spans="3:23" x14ac:dyDescent="0.35">
      <c r="C32" s="80" t="s">
        <v>1628</v>
      </c>
      <c r="D32" s="62">
        <v>2261888889</v>
      </c>
      <c r="E32" s="62">
        <v>941265435</v>
      </c>
      <c r="F32">
        <f t="shared" si="0"/>
        <v>2385224644</v>
      </c>
    </row>
    <row r="33" spans="3:6" x14ac:dyDescent="0.35">
      <c r="C33" s="80" t="s">
        <v>1371</v>
      </c>
      <c r="D33" s="62">
        <v>2201668243</v>
      </c>
      <c r="E33" s="62">
        <v>1048426349</v>
      </c>
      <c r="F33">
        <f t="shared" si="0"/>
        <v>2385224644</v>
      </c>
    </row>
    <row r="34" spans="3:6" x14ac:dyDescent="0.35">
      <c r="C34" s="80" t="s">
        <v>1173</v>
      </c>
      <c r="D34" s="62">
        <v>2023411357</v>
      </c>
      <c r="E34" s="62">
        <v>760507625</v>
      </c>
      <c r="F34">
        <f t="shared" si="0"/>
        <v>2385224644</v>
      </c>
    </row>
    <row r="35" spans="3:6" x14ac:dyDescent="0.35">
      <c r="C35" s="80" t="s">
        <v>1187</v>
      </c>
      <c r="D35" s="62">
        <v>1927389895</v>
      </c>
      <c r="E35" s="62">
        <v>1035939639</v>
      </c>
      <c r="F35">
        <f t="shared" si="0"/>
        <v>2385224644</v>
      </c>
    </row>
    <row r="36" spans="3:6" x14ac:dyDescent="0.35">
      <c r="C36" s="80" t="s">
        <v>1168</v>
      </c>
      <c r="D36" s="62">
        <v>1804986836</v>
      </c>
      <c r="E36" s="62">
        <v>831556726</v>
      </c>
      <c r="F36">
        <f t="shared" si="0"/>
        <v>2385224644</v>
      </c>
    </row>
    <row r="37" spans="3:6" x14ac:dyDescent="0.35">
      <c r="C37" s="80" t="s">
        <v>1358</v>
      </c>
      <c r="D37" s="62">
        <v>1791857485</v>
      </c>
      <c r="E37" s="62">
        <v>1218142113</v>
      </c>
      <c r="F37">
        <f t="shared" si="0"/>
        <v>2385224644</v>
      </c>
    </row>
    <row r="38" spans="3:6" x14ac:dyDescent="0.35">
      <c r="C38" s="80" t="s">
        <v>1068</v>
      </c>
      <c r="D38" s="62">
        <v>1775304616</v>
      </c>
      <c r="E38" s="62">
        <v>1457120902</v>
      </c>
      <c r="F38">
        <f t="shared" si="0"/>
        <v>2385224644</v>
      </c>
    </row>
    <row r="39" spans="3:6" x14ac:dyDescent="0.35">
      <c r="C39" s="80" t="s">
        <v>1513</v>
      </c>
      <c r="D39" s="62">
        <v>1708463558</v>
      </c>
      <c r="E39" s="62">
        <v>1123473495</v>
      </c>
      <c r="F39">
        <f t="shared" si="0"/>
        <v>2385224644</v>
      </c>
    </row>
    <row r="40" spans="3:6" x14ac:dyDescent="0.35">
      <c r="C40" s="80" t="s">
        <v>1323</v>
      </c>
      <c r="D40" s="62">
        <v>1617679821</v>
      </c>
      <c r="E40" s="62">
        <v>698586769</v>
      </c>
      <c r="F40">
        <f t="shared" si="0"/>
        <v>2385224644</v>
      </c>
    </row>
    <row r="41" spans="3:6" x14ac:dyDescent="0.35">
      <c r="C41" s="80" t="s">
        <v>1561</v>
      </c>
      <c r="D41" s="62">
        <v>1594834228</v>
      </c>
      <c r="E41" s="62">
        <v>1073574219</v>
      </c>
      <c r="F41">
        <f t="shared" si="0"/>
        <v>2385224644</v>
      </c>
    </row>
    <row r="42" spans="3:6" x14ac:dyDescent="0.35">
      <c r="C42" s="80" t="s">
        <v>1146</v>
      </c>
      <c r="D42" s="62">
        <v>1588448532</v>
      </c>
      <c r="E42" s="62">
        <v>710904028</v>
      </c>
      <c r="F42">
        <f t="shared" si="0"/>
        <v>2385224644</v>
      </c>
    </row>
    <row r="43" spans="3:6" x14ac:dyDescent="0.35">
      <c r="C43" s="80" t="s">
        <v>1219</v>
      </c>
      <c r="D43" s="62">
        <v>1573215788</v>
      </c>
      <c r="E43" s="62">
        <v>1136897291</v>
      </c>
      <c r="F43">
        <f t="shared" si="0"/>
        <v>2385224644</v>
      </c>
    </row>
    <row r="44" spans="3:6" x14ac:dyDescent="0.35">
      <c r="C44" s="80" t="s">
        <v>1190</v>
      </c>
      <c r="D44" s="62">
        <v>1548943366</v>
      </c>
      <c r="E44" s="62">
        <v>86600000</v>
      </c>
      <c r="F44">
        <f t="shared" si="0"/>
        <v>2385224644</v>
      </c>
    </row>
    <row r="45" spans="3:6" x14ac:dyDescent="0.35">
      <c r="C45" s="80" t="s">
        <v>1395</v>
      </c>
      <c r="D45" s="62">
        <v>1537247141</v>
      </c>
      <c r="E45" s="62">
        <v>850496987</v>
      </c>
      <c r="F45">
        <f t="shared" si="0"/>
        <v>2385224644</v>
      </c>
    </row>
    <row r="46" spans="3:6" x14ac:dyDescent="0.35">
      <c r="C46" s="80" t="s">
        <v>1242</v>
      </c>
      <c r="D46" s="62">
        <v>1503676314</v>
      </c>
      <c r="E46" s="62">
        <v>900785168</v>
      </c>
      <c r="F46">
        <f t="shared" si="0"/>
        <v>2385224644</v>
      </c>
    </row>
    <row r="47" spans="3:6" x14ac:dyDescent="0.35">
      <c r="C47" s="80" t="s">
        <v>1608</v>
      </c>
      <c r="D47" s="62">
        <v>1474478693</v>
      </c>
      <c r="E47" s="62">
        <v>1214320714</v>
      </c>
      <c r="F47">
        <f t="shared" si="0"/>
        <v>2385224644</v>
      </c>
    </row>
    <row r="48" spans="3:6" x14ac:dyDescent="0.35">
      <c r="C48" s="80" t="s">
        <v>1118</v>
      </c>
      <c r="D48" s="62">
        <v>1454713244</v>
      </c>
      <c r="E48" s="62">
        <v>985360332</v>
      </c>
      <c r="F48">
        <f t="shared" si="0"/>
        <v>2385224644</v>
      </c>
    </row>
    <row r="49" spans="3:6" x14ac:dyDescent="0.35">
      <c r="C49" s="80" t="s">
        <v>1603</v>
      </c>
      <c r="D49" s="62">
        <v>1410963004</v>
      </c>
      <c r="E49" s="62">
        <v>1233958651</v>
      </c>
      <c r="F49">
        <f t="shared" si="0"/>
        <v>2385224644</v>
      </c>
    </row>
    <row r="50" spans="3:6" x14ac:dyDescent="0.35">
      <c r="C50" s="80" t="s">
        <v>1397</v>
      </c>
      <c r="D50" s="62">
        <v>1402000000</v>
      </c>
      <c r="E50" s="62">
        <v>513486643</v>
      </c>
      <c r="F50">
        <f t="shared" si="0"/>
        <v>2385224644</v>
      </c>
    </row>
    <row r="51" spans="3:6" x14ac:dyDescent="0.35">
      <c r="C51" s="80" t="s">
        <v>1086</v>
      </c>
      <c r="D51" s="62">
        <v>1379348177</v>
      </c>
      <c r="E51" s="62">
        <v>804130246</v>
      </c>
      <c r="F51">
        <f t="shared" si="0"/>
        <v>2385224644</v>
      </c>
    </row>
    <row r="52" spans="3:6" x14ac:dyDescent="0.35">
      <c r="C52" s="80" t="s">
        <v>1341</v>
      </c>
      <c r="D52" s="62">
        <v>1285238066</v>
      </c>
      <c r="E52" s="62">
        <v>807927196</v>
      </c>
      <c r="F52">
        <f t="shared" si="0"/>
        <v>2385224644</v>
      </c>
    </row>
    <row r="53" spans="3:6" x14ac:dyDescent="0.35">
      <c r="C53" s="80" t="s">
        <v>1436</v>
      </c>
      <c r="D53" s="62">
        <v>1265950660</v>
      </c>
      <c r="E53" s="62">
        <v>1144490990</v>
      </c>
      <c r="F53">
        <f t="shared" si="0"/>
        <v>2385224644</v>
      </c>
    </row>
    <row r="54" spans="3:6" x14ac:dyDescent="0.35">
      <c r="C54" s="80" t="s">
        <v>1415</v>
      </c>
      <c r="D54" s="62">
        <v>1230559769</v>
      </c>
      <c r="E54" s="62">
        <v>1236722264</v>
      </c>
      <c r="F54">
        <f t="shared" si="0"/>
        <v>2385224644</v>
      </c>
    </row>
    <row r="55" spans="3:6" x14ac:dyDescent="0.35">
      <c r="C55" s="80" t="s">
        <v>1546</v>
      </c>
      <c r="D55" s="62">
        <v>1220200000</v>
      </c>
      <c r="E55" s="62">
        <v>749853507</v>
      </c>
      <c r="F55">
        <f t="shared" si="0"/>
        <v>2385224644</v>
      </c>
    </row>
    <row r="56" spans="3:6" x14ac:dyDescent="0.35">
      <c r="C56" s="80" t="s">
        <v>1232</v>
      </c>
      <c r="D56" s="62">
        <v>1184365793</v>
      </c>
      <c r="E56" s="62">
        <v>1413286322</v>
      </c>
      <c r="F56">
        <f t="shared" si="0"/>
        <v>2385224644</v>
      </c>
    </row>
    <row r="57" spans="3:6" x14ac:dyDescent="0.35">
      <c r="C57" s="80" t="s">
        <v>1097</v>
      </c>
      <c r="D57" s="62">
        <v>1151851916</v>
      </c>
      <c r="E57" s="62">
        <v>842538160</v>
      </c>
      <c r="F57">
        <f t="shared" si="0"/>
        <v>2385224644</v>
      </c>
    </row>
    <row r="58" spans="3:6" x14ac:dyDescent="0.35">
      <c r="C58" s="80" t="s">
        <v>1359</v>
      </c>
      <c r="D58" s="62">
        <v>1131342404</v>
      </c>
      <c r="E58" s="62">
        <v>732023426</v>
      </c>
      <c r="F58">
        <f t="shared" si="0"/>
        <v>2385224644</v>
      </c>
    </row>
    <row r="59" spans="3:6" x14ac:dyDescent="0.35">
      <c r="C59" s="80" t="s">
        <v>1025</v>
      </c>
      <c r="D59" s="62">
        <v>1129829751</v>
      </c>
      <c r="E59" s="62">
        <v>1255394893</v>
      </c>
      <c r="F59">
        <f t="shared" si="0"/>
        <v>2385224644</v>
      </c>
    </row>
    <row r="60" spans="3:6" x14ac:dyDescent="0.35">
      <c r="C60" s="80" t="s">
        <v>1583</v>
      </c>
      <c r="D60" s="62">
        <v>1109318437</v>
      </c>
      <c r="E60" s="62">
        <v>854497854</v>
      </c>
      <c r="F60">
        <f t="shared" si="0"/>
        <v>2385224644</v>
      </c>
    </row>
    <row r="61" spans="3:6" x14ac:dyDescent="0.35">
      <c r="C61" s="80" t="s">
        <v>1024</v>
      </c>
      <c r="D61" s="62">
        <v>1039961899</v>
      </c>
      <c r="E61" s="62">
        <v>1055357002</v>
      </c>
      <c r="F61">
        <f t="shared" si="0"/>
        <v>2385224644</v>
      </c>
    </row>
    <row r="62" spans="3:6" x14ac:dyDescent="0.35">
      <c r="C62" s="80" t="s">
        <v>1081</v>
      </c>
      <c r="D62" s="62">
        <v>1022930462</v>
      </c>
      <c r="E62" s="62">
        <v>726923666</v>
      </c>
      <c r="F62">
        <f t="shared" si="0"/>
        <v>2385224644</v>
      </c>
    </row>
    <row r="63" spans="3:6" x14ac:dyDescent="0.35">
      <c r="C63" s="80" t="s">
        <v>1129</v>
      </c>
      <c r="D63" s="62">
        <v>945700000</v>
      </c>
      <c r="E63" s="62">
        <v>459005868</v>
      </c>
      <c r="F63">
        <f t="shared" si="0"/>
        <v>2385224644</v>
      </c>
    </row>
    <row r="64" spans="3:6" x14ac:dyDescent="0.35">
      <c r="C64" s="80" t="s">
        <v>1059</v>
      </c>
      <c r="D64" s="62">
        <v>945056655</v>
      </c>
      <c r="E64" s="62">
        <v>441977998</v>
      </c>
      <c r="F64">
        <f t="shared" si="0"/>
        <v>2385224644</v>
      </c>
    </row>
    <row r="65" spans="3:6" x14ac:dyDescent="0.35">
      <c r="C65" s="80" t="s">
        <v>1596</v>
      </c>
      <c r="D65" s="62">
        <v>939729275</v>
      </c>
      <c r="E65" s="62">
        <v>975083791</v>
      </c>
      <c r="F65">
        <f t="shared" si="0"/>
        <v>2385224644</v>
      </c>
    </row>
    <row r="66" spans="3:6" x14ac:dyDescent="0.35">
      <c r="C66" s="80" t="s">
        <v>1455</v>
      </c>
      <c r="D66" s="62">
        <v>917124057</v>
      </c>
      <c r="E66" s="62">
        <v>718693054</v>
      </c>
      <c r="F66">
        <f t="shared" si="0"/>
        <v>2385224644</v>
      </c>
    </row>
    <row r="67" spans="3:6" x14ac:dyDescent="0.35">
      <c r="C67" s="80" t="s">
        <v>1243</v>
      </c>
      <c r="D67" s="62">
        <v>907915271</v>
      </c>
      <c r="E67" s="62">
        <v>479658073</v>
      </c>
      <c r="F67">
        <f t="shared" si="0"/>
        <v>2385224644</v>
      </c>
    </row>
    <row r="68" spans="3:6" x14ac:dyDescent="0.35">
      <c r="C68" s="80" t="s">
        <v>1519</v>
      </c>
      <c r="D68" s="62">
        <v>903417357</v>
      </c>
      <c r="E68" s="62">
        <v>546810670</v>
      </c>
      <c r="F68">
        <f t="shared" si="0"/>
        <v>2385224644</v>
      </c>
    </row>
    <row r="69" spans="3:6" x14ac:dyDescent="0.35">
      <c r="C69" s="80" t="s">
        <v>1121</v>
      </c>
      <c r="D69" s="62">
        <v>876469323</v>
      </c>
      <c r="E69" s="62">
        <v>573461568</v>
      </c>
      <c r="F69">
        <f t="shared" si="0"/>
        <v>2385224644</v>
      </c>
    </row>
    <row r="70" spans="3:6" x14ac:dyDescent="0.35">
      <c r="C70" s="80" t="s">
        <v>1357</v>
      </c>
      <c r="D70" s="62">
        <v>873496971</v>
      </c>
      <c r="E70" s="62">
        <v>400738009</v>
      </c>
      <c r="F70">
        <f t="shared" si="0"/>
        <v>2385224644</v>
      </c>
    </row>
    <row r="71" spans="3:6" x14ac:dyDescent="0.35">
      <c r="C71" s="80" t="s">
        <v>1531</v>
      </c>
      <c r="D71" s="62">
        <v>857588630</v>
      </c>
      <c r="E71" s="62">
        <v>488079965</v>
      </c>
      <c r="F71">
        <f t="shared" si="0"/>
        <v>2385224644</v>
      </c>
    </row>
    <row r="72" spans="3:6" x14ac:dyDescent="0.35">
      <c r="C72" s="80" t="s">
        <v>1265</v>
      </c>
      <c r="D72" s="62">
        <v>851515348</v>
      </c>
      <c r="E72" s="62">
        <v>600342763</v>
      </c>
      <c r="F72">
        <f t="shared" si="0"/>
        <v>2385224644</v>
      </c>
    </row>
    <row r="73" spans="3:6" x14ac:dyDescent="0.35">
      <c r="C73" s="80" t="s">
        <v>1326</v>
      </c>
      <c r="D73" s="62">
        <v>845631816</v>
      </c>
      <c r="E73" s="62">
        <v>665255190</v>
      </c>
      <c r="F73">
        <f t="shared" si="0"/>
        <v>2385224644</v>
      </c>
    </row>
    <row r="74" spans="3:6" x14ac:dyDescent="0.35">
      <c r="C74" s="80" t="s">
        <v>1217</v>
      </c>
      <c r="D74" s="62">
        <v>843151091</v>
      </c>
      <c r="E74" s="62">
        <v>373459753</v>
      </c>
      <c r="F74">
        <f t="shared" si="0"/>
        <v>2385224644</v>
      </c>
    </row>
    <row r="75" spans="3:6" x14ac:dyDescent="0.35">
      <c r="C75" s="80" t="s">
        <v>1571</v>
      </c>
      <c r="D75" s="62">
        <v>842980581</v>
      </c>
      <c r="E75" s="62">
        <v>582735790</v>
      </c>
      <c r="F75">
        <f t="shared" si="0"/>
        <v>2385224644</v>
      </c>
    </row>
    <row r="76" spans="3:6" x14ac:dyDescent="0.35">
      <c r="C76" s="80" t="s">
        <v>1057</v>
      </c>
      <c r="D76" s="62">
        <v>833898228</v>
      </c>
      <c r="E76" s="62">
        <v>546733458</v>
      </c>
      <c r="F76">
        <f t="shared" si="0"/>
        <v>2385224644</v>
      </c>
    </row>
    <row r="77" spans="3:6" x14ac:dyDescent="0.35">
      <c r="C77" s="80" t="s">
        <v>1489</v>
      </c>
      <c r="D77" s="62">
        <v>833282571</v>
      </c>
      <c r="E77" s="62">
        <v>446957189</v>
      </c>
      <c r="F77">
        <f t="shared" si="0"/>
        <v>2385224644</v>
      </c>
    </row>
    <row r="78" spans="3:6" x14ac:dyDescent="0.35">
      <c r="C78" s="80" t="s">
        <v>1375</v>
      </c>
      <c r="D78" s="62">
        <v>830273870</v>
      </c>
      <c r="E78" s="62">
        <v>553032459</v>
      </c>
      <c r="F78">
        <f t="shared" si="0"/>
        <v>2385224644</v>
      </c>
    </row>
    <row r="79" spans="3:6" x14ac:dyDescent="0.35">
      <c r="C79" s="80" t="s">
        <v>1301</v>
      </c>
      <c r="D79" s="62">
        <v>827828907</v>
      </c>
      <c r="E79" s="62">
        <v>819833332</v>
      </c>
      <c r="F79">
        <f t="shared" si="0"/>
        <v>2385224644</v>
      </c>
    </row>
    <row r="80" spans="3:6" x14ac:dyDescent="0.35">
      <c r="C80" s="80" t="s">
        <v>1181</v>
      </c>
      <c r="D80" s="62">
        <v>826412998</v>
      </c>
      <c r="E80" s="62">
        <v>541539714</v>
      </c>
      <c r="F80">
        <f t="shared" si="0"/>
        <v>2385224644</v>
      </c>
    </row>
    <row r="81" spans="3:6" x14ac:dyDescent="0.35">
      <c r="C81" s="80" t="s">
        <v>1292</v>
      </c>
      <c r="D81" s="62">
        <v>825868529</v>
      </c>
      <c r="E81" s="62">
        <v>335501715</v>
      </c>
      <c r="F81">
        <f t="shared" si="0"/>
        <v>2385224644</v>
      </c>
    </row>
    <row r="82" spans="3:6" x14ac:dyDescent="0.35">
      <c r="C82" s="80" t="s">
        <v>1283</v>
      </c>
      <c r="D82" s="62">
        <v>814747175</v>
      </c>
      <c r="E82" s="62">
        <v>682451702</v>
      </c>
      <c r="F82">
        <f t="shared" si="0"/>
        <v>2385224644</v>
      </c>
    </row>
    <row r="83" spans="3:6" x14ac:dyDescent="0.35">
      <c r="C83" s="80" t="s">
        <v>1450</v>
      </c>
      <c r="D83" s="62">
        <v>812897248</v>
      </c>
      <c r="E83" s="62">
        <v>454487951</v>
      </c>
      <c r="F83">
        <f t="shared" si="0"/>
        <v>2385224644</v>
      </c>
    </row>
    <row r="84" spans="3:6" x14ac:dyDescent="0.35">
      <c r="C84" s="80" t="s">
        <v>1142</v>
      </c>
      <c r="D84" s="62">
        <v>810818611</v>
      </c>
      <c r="E84" s="62">
        <v>440835175</v>
      </c>
      <c r="F84">
        <f t="shared" si="0"/>
        <v>2385224644</v>
      </c>
    </row>
    <row r="85" spans="3:6" x14ac:dyDescent="0.35">
      <c r="C85" s="80" t="s">
        <v>1093</v>
      </c>
      <c r="D85" s="62">
        <v>797301204</v>
      </c>
      <c r="E85" s="62">
        <v>459532975</v>
      </c>
      <c r="F85">
        <f t="shared" si="0"/>
        <v>2385224644</v>
      </c>
    </row>
    <row r="86" spans="3:6" x14ac:dyDescent="0.35">
      <c r="C86" s="80" t="s">
        <v>1179</v>
      </c>
      <c r="D86" s="62">
        <v>796743314</v>
      </c>
      <c r="E86" s="62">
        <v>269646165</v>
      </c>
      <c r="F86">
        <f t="shared" si="0"/>
        <v>2385224644</v>
      </c>
    </row>
    <row r="87" spans="3:6" x14ac:dyDescent="0.35">
      <c r="C87" s="80" t="s">
        <v>1570</v>
      </c>
      <c r="D87" s="62">
        <v>796597599</v>
      </c>
      <c r="E87" s="62">
        <v>481024236</v>
      </c>
      <c r="F87">
        <f t="shared" si="0"/>
        <v>2385224644</v>
      </c>
    </row>
    <row r="88" spans="3:6" x14ac:dyDescent="0.35">
      <c r="C88" s="80" t="s">
        <v>1273</v>
      </c>
      <c r="D88" s="62">
        <v>793872295</v>
      </c>
      <c r="E88" s="62">
        <v>338650472</v>
      </c>
      <c r="F88">
        <f t="shared" si="0"/>
        <v>2385224644</v>
      </c>
    </row>
    <row r="89" spans="3:6" x14ac:dyDescent="0.35">
      <c r="C89" s="80" t="s">
        <v>1639</v>
      </c>
      <c r="D89" s="62">
        <v>789042398</v>
      </c>
      <c r="E89" s="62">
        <v>414164088</v>
      </c>
      <c r="F89">
        <f t="shared" si="0"/>
        <v>2385224644</v>
      </c>
    </row>
    <row r="90" spans="3:6" x14ac:dyDescent="0.35">
      <c r="C90" s="80" t="s">
        <v>1165</v>
      </c>
      <c r="D90" s="62">
        <v>762385465</v>
      </c>
      <c r="E90" s="62">
        <v>932713420</v>
      </c>
      <c r="F90">
        <f t="shared" si="0"/>
        <v>2385224644</v>
      </c>
    </row>
    <row r="91" spans="3:6" x14ac:dyDescent="0.35">
      <c r="C91" s="80" t="s">
        <v>1149</v>
      </c>
      <c r="D91" s="62">
        <v>751746331</v>
      </c>
      <c r="E91" s="62">
        <v>521647503</v>
      </c>
      <c r="F91">
        <f t="shared" si="0"/>
        <v>2385224644</v>
      </c>
    </row>
    <row r="92" spans="3:6" x14ac:dyDescent="0.35">
      <c r="C92" s="80" t="s">
        <v>1080</v>
      </c>
      <c r="D92" s="62">
        <v>737229204</v>
      </c>
      <c r="E92" s="62">
        <v>488168591</v>
      </c>
      <c r="F92">
        <f t="shared" si="0"/>
        <v>2385224644</v>
      </c>
    </row>
    <row r="93" spans="3:6" x14ac:dyDescent="0.35">
      <c r="C93" s="80" t="s">
        <v>1087</v>
      </c>
      <c r="D93" s="62">
        <v>735395446</v>
      </c>
      <c r="E93" s="62">
        <v>823786664</v>
      </c>
      <c r="F93">
        <f t="shared" si="0"/>
        <v>2385224644</v>
      </c>
    </row>
    <row r="94" spans="3:6" x14ac:dyDescent="0.35">
      <c r="C94" s="80" t="s">
        <v>1207</v>
      </c>
      <c r="D94" s="62">
        <v>724100000</v>
      </c>
      <c r="E94" s="62">
        <v>571391554</v>
      </c>
      <c r="F94">
        <f t="shared" si="0"/>
        <v>2385224644</v>
      </c>
    </row>
    <row r="95" spans="3:6" x14ac:dyDescent="0.35">
      <c r="C95" s="80" t="s">
        <v>1125</v>
      </c>
      <c r="D95" s="62">
        <v>719856865</v>
      </c>
      <c r="E95" s="62">
        <v>629223452</v>
      </c>
      <c r="F95">
        <f t="shared" ref="F95:F158" si="1">GETPIVOTDATA("Sum of International Box Office",$C$29,"Lead Actor","Adam Sandler")+GETPIVOTDATA("Sum of Domestic Box Office",$C$29,"Lead Actor","Adam Sandler")</f>
        <v>2385224644</v>
      </c>
    </row>
    <row r="96" spans="3:6" x14ac:dyDescent="0.35">
      <c r="C96" s="80" t="s">
        <v>1496</v>
      </c>
      <c r="D96" s="62">
        <v>718443294</v>
      </c>
      <c r="E96" s="62">
        <v>161321843</v>
      </c>
      <c r="F96">
        <f t="shared" si="1"/>
        <v>2385224644</v>
      </c>
    </row>
    <row r="97" spans="3:6" x14ac:dyDescent="0.35">
      <c r="C97" s="80" t="s">
        <v>1407</v>
      </c>
      <c r="D97" s="62">
        <v>690576955</v>
      </c>
      <c r="E97" s="62">
        <v>307935909</v>
      </c>
      <c r="F97">
        <f t="shared" si="1"/>
        <v>2385224644</v>
      </c>
    </row>
    <row r="98" spans="3:6" x14ac:dyDescent="0.35">
      <c r="C98" s="80" t="s">
        <v>1046</v>
      </c>
      <c r="D98" s="62">
        <v>689339126</v>
      </c>
      <c r="E98" s="62">
        <v>359718696</v>
      </c>
      <c r="F98">
        <f t="shared" si="1"/>
        <v>2385224644</v>
      </c>
    </row>
    <row r="99" spans="3:6" x14ac:dyDescent="0.35">
      <c r="C99" s="80" t="s">
        <v>1066</v>
      </c>
      <c r="D99" s="62">
        <v>678024553</v>
      </c>
      <c r="E99" s="62">
        <v>712990129</v>
      </c>
      <c r="F99">
        <f t="shared" si="1"/>
        <v>2385224644</v>
      </c>
    </row>
    <row r="100" spans="3:6" x14ac:dyDescent="0.35">
      <c r="C100" s="80" t="s">
        <v>1601</v>
      </c>
      <c r="D100" s="62">
        <v>664300000</v>
      </c>
      <c r="E100" s="62">
        <v>295001070</v>
      </c>
      <c r="F100">
        <f t="shared" si="1"/>
        <v>2385224644</v>
      </c>
    </row>
    <row r="101" spans="3:6" x14ac:dyDescent="0.35">
      <c r="C101" s="80" t="s">
        <v>1312</v>
      </c>
      <c r="D101" s="62">
        <v>658461038</v>
      </c>
      <c r="E101" s="62">
        <v>759264090</v>
      </c>
      <c r="F101">
        <f t="shared" si="1"/>
        <v>2385224644</v>
      </c>
    </row>
    <row r="102" spans="3:6" x14ac:dyDescent="0.35">
      <c r="C102" s="80" t="s">
        <v>1193</v>
      </c>
      <c r="D102" s="62">
        <v>646464024</v>
      </c>
      <c r="E102" s="62">
        <v>493675192</v>
      </c>
      <c r="F102">
        <f t="shared" si="1"/>
        <v>2385224644</v>
      </c>
    </row>
    <row r="103" spans="3:6" x14ac:dyDescent="0.35">
      <c r="C103" s="80" t="s">
        <v>1435</v>
      </c>
      <c r="D103" s="62">
        <v>643104279</v>
      </c>
      <c r="E103" s="62">
        <v>395708305</v>
      </c>
      <c r="F103">
        <f t="shared" si="1"/>
        <v>2385224644</v>
      </c>
    </row>
    <row r="104" spans="3:6" x14ac:dyDescent="0.35">
      <c r="C104" s="80" t="s">
        <v>1418</v>
      </c>
      <c r="D104" s="62">
        <v>637484489</v>
      </c>
      <c r="E104" s="62">
        <v>222859823</v>
      </c>
      <c r="F104">
        <f t="shared" si="1"/>
        <v>2385224644</v>
      </c>
    </row>
    <row r="105" spans="3:6" x14ac:dyDescent="0.35">
      <c r="C105" s="80" t="s">
        <v>1077</v>
      </c>
      <c r="D105" s="62">
        <v>629791713</v>
      </c>
      <c r="E105" s="62">
        <v>298814421</v>
      </c>
      <c r="F105">
        <f t="shared" si="1"/>
        <v>2385224644</v>
      </c>
    </row>
    <row r="106" spans="3:6" x14ac:dyDescent="0.35">
      <c r="C106" s="80" t="s">
        <v>1109</v>
      </c>
      <c r="D106" s="62">
        <v>622296372</v>
      </c>
      <c r="E106" s="62">
        <v>166112167</v>
      </c>
      <c r="F106">
        <f t="shared" si="1"/>
        <v>2385224644</v>
      </c>
    </row>
    <row r="107" spans="3:6" x14ac:dyDescent="0.35">
      <c r="C107" s="80" t="s">
        <v>1615</v>
      </c>
      <c r="D107" s="62">
        <v>618449000</v>
      </c>
      <c r="E107" s="62">
        <v>546963604</v>
      </c>
      <c r="F107">
        <f t="shared" si="1"/>
        <v>2385224644</v>
      </c>
    </row>
    <row r="108" spans="3:6" x14ac:dyDescent="0.35">
      <c r="C108" s="80" t="s">
        <v>1119</v>
      </c>
      <c r="D108" s="62">
        <v>616991754</v>
      </c>
      <c r="E108" s="62">
        <v>261987880</v>
      </c>
      <c r="F108">
        <f t="shared" si="1"/>
        <v>2385224644</v>
      </c>
    </row>
    <row r="109" spans="3:6" x14ac:dyDescent="0.35">
      <c r="C109" s="80" t="s">
        <v>1076</v>
      </c>
      <c r="D109" s="62">
        <v>597828275</v>
      </c>
      <c r="E109" s="62">
        <v>467080579</v>
      </c>
      <c r="F109">
        <f t="shared" si="1"/>
        <v>2385224644</v>
      </c>
    </row>
    <row r="110" spans="3:6" x14ac:dyDescent="0.35">
      <c r="C110" s="80" t="s">
        <v>1468</v>
      </c>
      <c r="D110" s="62">
        <v>592706079</v>
      </c>
      <c r="E110" s="62">
        <v>534395545</v>
      </c>
      <c r="F110">
        <f t="shared" si="1"/>
        <v>2385224644</v>
      </c>
    </row>
    <row r="111" spans="3:6" x14ac:dyDescent="0.35">
      <c r="C111" s="80" t="s">
        <v>1534</v>
      </c>
      <c r="D111" s="62">
        <v>589768448</v>
      </c>
      <c r="E111" s="62">
        <v>270196555</v>
      </c>
      <c r="F111">
        <f t="shared" si="1"/>
        <v>2385224644</v>
      </c>
    </row>
    <row r="112" spans="3:6" x14ac:dyDescent="0.35">
      <c r="C112" s="80" t="s">
        <v>1269</v>
      </c>
      <c r="D112" s="62">
        <v>585678216</v>
      </c>
      <c r="E112" s="62">
        <v>380703100</v>
      </c>
      <c r="F112">
        <f t="shared" si="1"/>
        <v>2385224644</v>
      </c>
    </row>
    <row r="113" spans="3:6" x14ac:dyDescent="0.35">
      <c r="C113" s="80" t="s">
        <v>1411</v>
      </c>
      <c r="D113" s="62">
        <v>583088391</v>
      </c>
      <c r="E113" s="62">
        <v>265103924</v>
      </c>
      <c r="F113">
        <f t="shared" si="1"/>
        <v>2385224644</v>
      </c>
    </row>
    <row r="114" spans="3:6" x14ac:dyDescent="0.35">
      <c r="C114" s="80" t="s">
        <v>1133</v>
      </c>
      <c r="D114" s="62">
        <v>568323719</v>
      </c>
      <c r="E114" s="62">
        <v>267059173</v>
      </c>
      <c r="F114">
        <f t="shared" si="1"/>
        <v>2385224644</v>
      </c>
    </row>
    <row r="115" spans="3:6" x14ac:dyDescent="0.35">
      <c r="C115" s="80" t="s">
        <v>1248</v>
      </c>
      <c r="D115" s="62">
        <v>566155283</v>
      </c>
      <c r="E115" s="62">
        <v>278764547</v>
      </c>
      <c r="F115">
        <f t="shared" si="1"/>
        <v>2385224644</v>
      </c>
    </row>
    <row r="116" spans="3:6" x14ac:dyDescent="0.35">
      <c r="C116" s="80" t="s">
        <v>1528</v>
      </c>
      <c r="D116" s="62">
        <v>564700000</v>
      </c>
      <c r="E116" s="62">
        <v>422780140</v>
      </c>
      <c r="F116">
        <f t="shared" si="1"/>
        <v>2385224644</v>
      </c>
    </row>
    <row r="117" spans="3:6" x14ac:dyDescent="0.35">
      <c r="C117" s="80" t="s">
        <v>1635</v>
      </c>
      <c r="D117" s="62">
        <v>559333798</v>
      </c>
      <c r="E117" s="62">
        <v>507755541</v>
      </c>
      <c r="F117">
        <f t="shared" si="1"/>
        <v>2385224644</v>
      </c>
    </row>
    <row r="118" spans="3:6" x14ac:dyDescent="0.35">
      <c r="C118" s="80" t="s">
        <v>1319</v>
      </c>
      <c r="D118" s="62">
        <v>555900000</v>
      </c>
      <c r="E118" s="62">
        <v>380529370</v>
      </c>
      <c r="F118">
        <f t="shared" si="1"/>
        <v>2385224644</v>
      </c>
    </row>
    <row r="119" spans="3:6" x14ac:dyDescent="0.35">
      <c r="C119" s="80" t="s">
        <v>1262</v>
      </c>
      <c r="D119" s="62">
        <v>554345000</v>
      </c>
      <c r="E119" s="62">
        <v>73215310</v>
      </c>
      <c r="F119">
        <f t="shared" si="1"/>
        <v>2385224644</v>
      </c>
    </row>
    <row r="120" spans="3:6" x14ac:dyDescent="0.35">
      <c r="C120" s="80" t="s">
        <v>1042</v>
      </c>
      <c r="D120" s="62">
        <v>552500000</v>
      </c>
      <c r="E120" s="62">
        <v>474544677</v>
      </c>
      <c r="F120">
        <f t="shared" si="1"/>
        <v>2385224644</v>
      </c>
    </row>
    <row r="121" spans="3:6" x14ac:dyDescent="0.35">
      <c r="C121" s="80" t="s">
        <v>1229</v>
      </c>
      <c r="D121" s="62">
        <v>552203703</v>
      </c>
      <c r="E121" s="62">
        <v>458622738</v>
      </c>
      <c r="F121">
        <f t="shared" si="1"/>
        <v>2385224644</v>
      </c>
    </row>
    <row r="122" spans="3:6" x14ac:dyDescent="0.35">
      <c r="C122" s="80" t="s">
        <v>1403</v>
      </c>
      <c r="D122" s="62">
        <v>551320000</v>
      </c>
      <c r="E122" s="62">
        <v>503711335</v>
      </c>
      <c r="F122">
        <f t="shared" si="1"/>
        <v>2385224644</v>
      </c>
    </row>
    <row r="123" spans="3:6" x14ac:dyDescent="0.35">
      <c r="C123" s="80" t="s">
        <v>1331</v>
      </c>
      <c r="D123" s="62">
        <v>550284321</v>
      </c>
      <c r="E123" s="62">
        <v>217536138</v>
      </c>
      <c r="F123">
        <f t="shared" si="1"/>
        <v>2385224644</v>
      </c>
    </row>
    <row r="124" spans="3:6" x14ac:dyDescent="0.35">
      <c r="C124" s="80" t="s">
        <v>1466</v>
      </c>
      <c r="D124" s="62">
        <v>547362768</v>
      </c>
      <c r="E124" s="62">
        <v>543822994</v>
      </c>
      <c r="F124">
        <f t="shared" si="1"/>
        <v>2385224644</v>
      </c>
    </row>
    <row r="125" spans="3:6" x14ac:dyDescent="0.35">
      <c r="C125" s="80" t="s">
        <v>1161</v>
      </c>
      <c r="D125" s="62">
        <v>546400000</v>
      </c>
      <c r="E125" s="62">
        <v>398812966</v>
      </c>
      <c r="F125">
        <f t="shared" si="1"/>
        <v>2385224644</v>
      </c>
    </row>
    <row r="126" spans="3:6" x14ac:dyDescent="0.35">
      <c r="C126" s="80" t="s">
        <v>1421</v>
      </c>
      <c r="D126" s="62">
        <v>540008221</v>
      </c>
      <c r="E126" s="62">
        <v>292576195</v>
      </c>
      <c r="F126">
        <f t="shared" si="1"/>
        <v>2385224644</v>
      </c>
    </row>
    <row r="127" spans="3:6" x14ac:dyDescent="0.35">
      <c r="C127" s="80" t="s">
        <v>1194</v>
      </c>
      <c r="D127" s="62">
        <v>530529789</v>
      </c>
      <c r="E127" s="62">
        <v>216391482</v>
      </c>
      <c r="F127">
        <f t="shared" si="1"/>
        <v>2385224644</v>
      </c>
    </row>
    <row r="128" spans="3:6" x14ac:dyDescent="0.35">
      <c r="C128" s="80" t="s">
        <v>1116</v>
      </c>
      <c r="D128" s="62">
        <v>529636811</v>
      </c>
      <c r="E128" s="62">
        <v>413754361</v>
      </c>
      <c r="F128">
        <f t="shared" si="1"/>
        <v>2385224644</v>
      </c>
    </row>
    <row r="129" spans="3:6" x14ac:dyDescent="0.35">
      <c r="C129" s="80" t="s">
        <v>1587</v>
      </c>
      <c r="D129" s="62">
        <v>524889346</v>
      </c>
      <c r="E129" s="62">
        <v>251085999</v>
      </c>
      <c r="F129">
        <f t="shared" si="1"/>
        <v>2385224644</v>
      </c>
    </row>
    <row r="130" spans="3:6" x14ac:dyDescent="0.35">
      <c r="C130" s="80" t="s">
        <v>1361</v>
      </c>
      <c r="D130" s="62">
        <v>517507886</v>
      </c>
      <c r="E130" s="62">
        <v>238395990</v>
      </c>
      <c r="F130">
        <f t="shared" si="1"/>
        <v>2385224644</v>
      </c>
    </row>
    <row r="131" spans="3:6" x14ac:dyDescent="0.35">
      <c r="C131" s="80" t="s">
        <v>1145</v>
      </c>
      <c r="D131" s="62">
        <v>511231623</v>
      </c>
      <c r="E131" s="62">
        <v>306124059</v>
      </c>
      <c r="F131">
        <f t="shared" si="1"/>
        <v>2385224644</v>
      </c>
    </row>
    <row r="132" spans="3:6" x14ac:dyDescent="0.35">
      <c r="C132" s="80" t="s">
        <v>1633</v>
      </c>
      <c r="D132" s="62">
        <v>510196739</v>
      </c>
      <c r="E132" s="62">
        <v>426203845</v>
      </c>
      <c r="F132">
        <f t="shared" si="1"/>
        <v>2385224644</v>
      </c>
    </row>
    <row r="133" spans="3:6" x14ac:dyDescent="0.35">
      <c r="C133" s="80" t="s">
        <v>1238</v>
      </c>
      <c r="D133" s="62">
        <v>505012418</v>
      </c>
      <c r="E133" s="62">
        <v>374549535</v>
      </c>
      <c r="F133">
        <f t="shared" si="1"/>
        <v>2385224644</v>
      </c>
    </row>
    <row r="134" spans="3:6" x14ac:dyDescent="0.35">
      <c r="C134" s="80" t="s">
        <v>1044</v>
      </c>
      <c r="D134" s="62">
        <v>495000000</v>
      </c>
      <c r="E134" s="62">
        <v>208545589</v>
      </c>
      <c r="F134">
        <f t="shared" si="1"/>
        <v>2385224644</v>
      </c>
    </row>
    <row r="135" spans="3:6" x14ac:dyDescent="0.35">
      <c r="C135" s="80" t="s">
        <v>1373</v>
      </c>
      <c r="D135" s="62">
        <v>494300000</v>
      </c>
      <c r="E135" s="62">
        <v>356158534</v>
      </c>
      <c r="F135">
        <f t="shared" si="1"/>
        <v>2385224644</v>
      </c>
    </row>
    <row r="136" spans="3:6" x14ac:dyDescent="0.35">
      <c r="C136" s="80" t="s">
        <v>1580</v>
      </c>
      <c r="D136" s="62">
        <v>483000000</v>
      </c>
      <c r="E136" s="62">
        <v>124987022</v>
      </c>
      <c r="F136">
        <f t="shared" si="1"/>
        <v>2385224644</v>
      </c>
    </row>
    <row r="137" spans="3:6" x14ac:dyDescent="0.35">
      <c r="C137" s="80" t="s">
        <v>1127</v>
      </c>
      <c r="D137" s="62">
        <v>469546000</v>
      </c>
      <c r="E137" s="62">
        <v>533345358</v>
      </c>
      <c r="F137">
        <f t="shared" si="1"/>
        <v>2385224644</v>
      </c>
    </row>
    <row r="138" spans="3:6" x14ac:dyDescent="0.35">
      <c r="C138" s="80" t="s">
        <v>1334</v>
      </c>
      <c r="D138" s="62">
        <v>469534294</v>
      </c>
      <c r="E138" s="62">
        <v>317023851</v>
      </c>
      <c r="F138">
        <f t="shared" si="1"/>
        <v>2385224644</v>
      </c>
    </row>
    <row r="139" spans="3:6" x14ac:dyDescent="0.35">
      <c r="C139" s="80" t="s">
        <v>1316</v>
      </c>
      <c r="D139" s="62">
        <v>467067628</v>
      </c>
      <c r="E139" s="62">
        <v>432181227</v>
      </c>
      <c r="F139">
        <f t="shared" si="1"/>
        <v>2385224644</v>
      </c>
    </row>
    <row r="140" spans="3:6" x14ac:dyDescent="0.35">
      <c r="C140" s="80" t="s">
        <v>1360</v>
      </c>
      <c r="D140" s="62">
        <v>463405898</v>
      </c>
      <c r="E140" s="62">
        <v>345084204</v>
      </c>
      <c r="F140">
        <f t="shared" si="1"/>
        <v>2385224644</v>
      </c>
    </row>
    <row r="141" spans="3:6" x14ac:dyDescent="0.35">
      <c r="C141" s="80" t="s">
        <v>1544</v>
      </c>
      <c r="D141" s="62">
        <v>461933086</v>
      </c>
      <c r="E141" s="62">
        <v>247994950</v>
      </c>
      <c r="F141">
        <f t="shared" si="1"/>
        <v>2385224644</v>
      </c>
    </row>
    <row r="142" spans="3:6" x14ac:dyDescent="0.35">
      <c r="C142" s="80" t="s">
        <v>1182</v>
      </c>
      <c r="D142" s="62">
        <v>461600000</v>
      </c>
      <c r="E142" s="62">
        <v>182973063</v>
      </c>
      <c r="F142">
        <f t="shared" si="1"/>
        <v>2385224644</v>
      </c>
    </row>
    <row r="143" spans="3:6" x14ac:dyDescent="0.35">
      <c r="C143" s="80" t="s">
        <v>1642</v>
      </c>
      <c r="D143" s="62">
        <v>458000000</v>
      </c>
      <c r="E143" s="62">
        <v>373901075</v>
      </c>
      <c r="F143">
        <f t="shared" si="1"/>
        <v>2385224644</v>
      </c>
    </row>
    <row r="144" spans="3:6" x14ac:dyDescent="0.35">
      <c r="C144" s="80" t="s">
        <v>1115</v>
      </c>
      <c r="D144" s="62">
        <v>454100000</v>
      </c>
      <c r="E144" s="62">
        <v>259746958</v>
      </c>
      <c r="F144">
        <f t="shared" si="1"/>
        <v>2385224644</v>
      </c>
    </row>
    <row r="145" spans="3:6" x14ac:dyDescent="0.35">
      <c r="C145" s="80" t="s">
        <v>1263</v>
      </c>
      <c r="D145" s="62">
        <v>444275611</v>
      </c>
      <c r="E145" s="62">
        <v>277474559</v>
      </c>
      <c r="F145">
        <f t="shared" si="1"/>
        <v>2385224644</v>
      </c>
    </row>
    <row r="146" spans="3:6" x14ac:dyDescent="0.35">
      <c r="C146" s="80" t="s">
        <v>1488</v>
      </c>
      <c r="D146" s="62">
        <v>440200000</v>
      </c>
      <c r="E146" s="62">
        <v>424668047</v>
      </c>
      <c r="F146">
        <f t="shared" si="1"/>
        <v>2385224644</v>
      </c>
    </row>
    <row r="147" spans="3:6" x14ac:dyDescent="0.35">
      <c r="C147" s="80" t="s">
        <v>1282</v>
      </c>
      <c r="D147" s="62">
        <v>439100000</v>
      </c>
      <c r="E147" s="62">
        <v>177002924</v>
      </c>
      <c r="F147">
        <f t="shared" si="1"/>
        <v>2385224644</v>
      </c>
    </row>
    <row r="148" spans="3:6" x14ac:dyDescent="0.35">
      <c r="C148" s="80" t="s">
        <v>1363</v>
      </c>
      <c r="D148" s="62">
        <v>433588022</v>
      </c>
      <c r="E148" s="62">
        <v>164634304</v>
      </c>
      <c r="F148">
        <f t="shared" si="1"/>
        <v>2385224644</v>
      </c>
    </row>
    <row r="149" spans="3:6" x14ac:dyDescent="0.35">
      <c r="C149" s="80" t="s">
        <v>1542</v>
      </c>
      <c r="D149" s="62">
        <v>433199548</v>
      </c>
      <c r="E149" s="62">
        <v>523702203</v>
      </c>
      <c r="F149">
        <f t="shared" si="1"/>
        <v>2385224644</v>
      </c>
    </row>
    <row r="150" spans="3:6" x14ac:dyDescent="0.35">
      <c r="C150" s="80" t="s">
        <v>1634</v>
      </c>
      <c r="D150" s="62">
        <v>431222157</v>
      </c>
      <c r="E150" s="62">
        <v>254781069</v>
      </c>
      <c r="F150">
        <f t="shared" si="1"/>
        <v>2385224644</v>
      </c>
    </row>
    <row r="151" spans="3:6" x14ac:dyDescent="0.35">
      <c r="C151" s="80" t="s">
        <v>1547</v>
      </c>
      <c r="D151" s="62">
        <v>429600000</v>
      </c>
      <c r="E151" s="62">
        <v>222527828</v>
      </c>
      <c r="F151">
        <f t="shared" si="1"/>
        <v>2385224644</v>
      </c>
    </row>
    <row r="152" spans="3:6" x14ac:dyDescent="0.35">
      <c r="C152" s="80" t="s">
        <v>1354</v>
      </c>
      <c r="D152" s="62">
        <v>428828615</v>
      </c>
      <c r="E152" s="62">
        <v>291710957</v>
      </c>
      <c r="F152">
        <f t="shared" si="1"/>
        <v>2385224644</v>
      </c>
    </row>
    <row r="153" spans="3:6" x14ac:dyDescent="0.35">
      <c r="C153" s="80" t="s">
        <v>1031</v>
      </c>
      <c r="D153" s="62">
        <v>421135165</v>
      </c>
      <c r="E153" s="62">
        <v>142614158</v>
      </c>
      <c r="F153">
        <f t="shared" si="1"/>
        <v>2385224644</v>
      </c>
    </row>
    <row r="154" spans="3:6" x14ac:dyDescent="0.35">
      <c r="C154" s="80" t="s">
        <v>1069</v>
      </c>
      <c r="D154" s="62">
        <v>420948543</v>
      </c>
      <c r="E154" s="62">
        <v>174476054</v>
      </c>
      <c r="F154">
        <f t="shared" si="1"/>
        <v>2385224644</v>
      </c>
    </row>
    <row r="155" spans="3:6" x14ac:dyDescent="0.35">
      <c r="C155" s="80" t="s">
        <v>1085</v>
      </c>
      <c r="D155" s="62">
        <v>420104041</v>
      </c>
      <c r="E155" s="62">
        <v>206445654</v>
      </c>
      <c r="F155">
        <f t="shared" si="1"/>
        <v>2385224644</v>
      </c>
    </row>
    <row r="156" spans="3:6" x14ac:dyDescent="0.35">
      <c r="C156" s="80" t="s">
        <v>1535</v>
      </c>
      <c r="D156" s="62">
        <v>419505894</v>
      </c>
      <c r="E156" s="62">
        <v>180010950</v>
      </c>
      <c r="F156">
        <f t="shared" si="1"/>
        <v>2385224644</v>
      </c>
    </row>
    <row r="157" spans="3:6" x14ac:dyDescent="0.35">
      <c r="C157" s="80" t="s">
        <v>1622</v>
      </c>
      <c r="D157" s="62">
        <v>419505894</v>
      </c>
      <c r="E157" s="62">
        <v>90508336</v>
      </c>
      <c r="F157">
        <f t="shared" si="1"/>
        <v>2385224644</v>
      </c>
    </row>
    <row r="158" spans="3:6" x14ac:dyDescent="0.35">
      <c r="C158" s="80" t="s">
        <v>1144</v>
      </c>
      <c r="D158" s="62">
        <v>416475940</v>
      </c>
      <c r="E158" s="62">
        <v>215434591</v>
      </c>
      <c r="F158">
        <f t="shared" si="1"/>
        <v>2385224644</v>
      </c>
    </row>
    <row r="159" spans="3:6" x14ac:dyDescent="0.35">
      <c r="C159" s="80" t="s">
        <v>1138</v>
      </c>
      <c r="D159" s="62">
        <v>405571077</v>
      </c>
      <c r="E159" s="62">
        <v>300531751</v>
      </c>
      <c r="F159">
        <f t="shared" ref="F159:F222" si="2">GETPIVOTDATA("Sum of International Box Office",$C$29,"Lead Actor","Adam Sandler")+GETPIVOTDATA("Sum of Domestic Box Office",$C$29,"Lead Actor","Adam Sandler")</f>
        <v>2385224644</v>
      </c>
    </row>
    <row r="160" spans="3:6" x14ac:dyDescent="0.35">
      <c r="C160" s="80" t="s">
        <v>1139</v>
      </c>
      <c r="D160" s="62">
        <v>404288027</v>
      </c>
      <c r="E160" s="62">
        <v>166167230</v>
      </c>
      <c r="F160">
        <f t="shared" si="2"/>
        <v>2385224644</v>
      </c>
    </row>
    <row r="161" spans="3:6" x14ac:dyDescent="0.35">
      <c r="C161" s="80" t="s">
        <v>1498</v>
      </c>
      <c r="D161" s="62">
        <v>397306607</v>
      </c>
      <c r="E161" s="62">
        <v>631747251</v>
      </c>
      <c r="F161">
        <f t="shared" si="2"/>
        <v>2385224644</v>
      </c>
    </row>
    <row r="162" spans="3:6" x14ac:dyDescent="0.35">
      <c r="C162" s="80" t="s">
        <v>1259</v>
      </c>
      <c r="D162" s="62">
        <v>396287998</v>
      </c>
      <c r="E162" s="62">
        <v>227946274</v>
      </c>
      <c r="F162">
        <f t="shared" si="2"/>
        <v>2385224644</v>
      </c>
    </row>
    <row r="163" spans="3:6" x14ac:dyDescent="0.35">
      <c r="C163" s="80" t="s">
        <v>1568</v>
      </c>
      <c r="D163" s="62">
        <v>395904581</v>
      </c>
      <c r="E163" s="62">
        <v>421151192</v>
      </c>
      <c r="F163">
        <f t="shared" si="2"/>
        <v>2385224644</v>
      </c>
    </row>
    <row r="164" spans="3:6" x14ac:dyDescent="0.35">
      <c r="C164" s="80" t="s">
        <v>1177</v>
      </c>
      <c r="D164" s="62">
        <v>394136827</v>
      </c>
      <c r="E164" s="62">
        <v>187726012</v>
      </c>
      <c r="F164">
        <f t="shared" si="2"/>
        <v>2385224644</v>
      </c>
    </row>
    <row r="165" spans="3:6" x14ac:dyDescent="0.35">
      <c r="C165" s="80" t="s">
        <v>1286</v>
      </c>
      <c r="D165" s="62">
        <v>389552320</v>
      </c>
      <c r="E165" s="62">
        <v>229074524</v>
      </c>
      <c r="F165">
        <f t="shared" si="2"/>
        <v>2385224644</v>
      </c>
    </row>
    <row r="166" spans="3:6" x14ac:dyDescent="0.35">
      <c r="C166" s="80" t="s">
        <v>1105</v>
      </c>
      <c r="D166" s="62">
        <v>386815098</v>
      </c>
      <c r="E166" s="62">
        <v>321376033</v>
      </c>
      <c r="F166">
        <f t="shared" si="2"/>
        <v>2385224644</v>
      </c>
    </row>
    <row r="167" spans="3:6" x14ac:dyDescent="0.35">
      <c r="C167" s="80" t="s">
        <v>1388</v>
      </c>
      <c r="D167" s="62">
        <v>385760000</v>
      </c>
      <c r="E167" s="62">
        <v>200821936</v>
      </c>
      <c r="F167">
        <f t="shared" si="2"/>
        <v>2385224644</v>
      </c>
    </row>
    <row r="168" spans="3:6" x14ac:dyDescent="0.35">
      <c r="C168" s="80" t="s">
        <v>1430</v>
      </c>
      <c r="D168" s="62">
        <v>380586983</v>
      </c>
      <c r="E168" s="62">
        <v>358765810</v>
      </c>
      <c r="F168">
        <f t="shared" si="2"/>
        <v>2385224644</v>
      </c>
    </row>
    <row r="169" spans="3:6" x14ac:dyDescent="0.35">
      <c r="C169" s="80" t="s">
        <v>1575</v>
      </c>
      <c r="D169" s="62">
        <v>379968449</v>
      </c>
      <c r="E169" s="62">
        <v>158883474</v>
      </c>
      <c r="F169">
        <f t="shared" si="2"/>
        <v>2385224644</v>
      </c>
    </row>
    <row r="170" spans="3:6" x14ac:dyDescent="0.35">
      <c r="C170" s="80" t="s">
        <v>1290</v>
      </c>
      <c r="D170" s="62">
        <v>372500000</v>
      </c>
      <c r="E170" s="62">
        <v>337135885</v>
      </c>
      <c r="F170">
        <f t="shared" si="2"/>
        <v>2385224644</v>
      </c>
    </row>
    <row r="171" spans="3:6" x14ac:dyDescent="0.35">
      <c r="C171" s="80" t="s">
        <v>1028</v>
      </c>
      <c r="D171" s="62">
        <v>369578651</v>
      </c>
      <c r="E171" s="62">
        <v>186740799</v>
      </c>
      <c r="F171">
        <f t="shared" si="2"/>
        <v>2385224644</v>
      </c>
    </row>
    <row r="172" spans="3:6" x14ac:dyDescent="0.35">
      <c r="C172" s="80" t="s">
        <v>1100</v>
      </c>
      <c r="D172" s="62">
        <v>364614203</v>
      </c>
      <c r="E172" s="62">
        <v>264481695</v>
      </c>
      <c r="F172">
        <f t="shared" si="2"/>
        <v>2385224644</v>
      </c>
    </row>
    <row r="173" spans="3:6" x14ac:dyDescent="0.35">
      <c r="C173" s="80" t="s">
        <v>1130</v>
      </c>
      <c r="D173" s="62">
        <v>362223171</v>
      </c>
      <c r="E173" s="62">
        <v>226385263</v>
      </c>
      <c r="F173">
        <f t="shared" si="2"/>
        <v>2385224644</v>
      </c>
    </row>
    <row r="174" spans="3:6" x14ac:dyDescent="0.35">
      <c r="C174" s="80" t="s">
        <v>1297</v>
      </c>
      <c r="D174" s="62">
        <v>362200000</v>
      </c>
      <c r="E174" s="62">
        <v>131538435</v>
      </c>
      <c r="F174">
        <f t="shared" si="2"/>
        <v>2385224644</v>
      </c>
    </row>
    <row r="175" spans="3:6" x14ac:dyDescent="0.35">
      <c r="C175" s="80" t="s">
        <v>1424</v>
      </c>
      <c r="D175" s="62">
        <v>357854772</v>
      </c>
      <c r="E175" s="62">
        <v>434949459</v>
      </c>
      <c r="F175">
        <f t="shared" si="2"/>
        <v>2385224644</v>
      </c>
    </row>
    <row r="176" spans="3:6" x14ac:dyDescent="0.35">
      <c r="C176" s="80" t="s">
        <v>1058</v>
      </c>
      <c r="D176" s="62">
        <v>357500000</v>
      </c>
      <c r="E176" s="62">
        <v>133375846</v>
      </c>
      <c r="F176">
        <f t="shared" si="2"/>
        <v>2385224644</v>
      </c>
    </row>
    <row r="177" spans="3:6" x14ac:dyDescent="0.35">
      <c r="C177" s="80" t="s">
        <v>1382</v>
      </c>
      <c r="D177" s="62">
        <v>353285660</v>
      </c>
      <c r="E177" s="62">
        <v>261441092</v>
      </c>
      <c r="F177">
        <f t="shared" si="2"/>
        <v>2385224644</v>
      </c>
    </row>
    <row r="178" spans="3:6" x14ac:dyDescent="0.35">
      <c r="C178" s="80" t="s">
        <v>1300</v>
      </c>
      <c r="D178" s="62">
        <v>353021818</v>
      </c>
      <c r="E178" s="62">
        <v>80803852</v>
      </c>
      <c r="F178">
        <f t="shared" si="2"/>
        <v>2385224644</v>
      </c>
    </row>
    <row r="179" spans="3:6" x14ac:dyDescent="0.35">
      <c r="C179" s="80" t="s">
        <v>1448</v>
      </c>
      <c r="D179" s="62">
        <v>349706026</v>
      </c>
      <c r="E179" s="62">
        <v>330151138</v>
      </c>
      <c r="F179">
        <f t="shared" si="2"/>
        <v>2385224644</v>
      </c>
    </row>
    <row r="180" spans="3:6" x14ac:dyDescent="0.35">
      <c r="C180" s="80" t="s">
        <v>1562</v>
      </c>
      <c r="D180" s="62">
        <v>345700000</v>
      </c>
      <c r="E180" s="62">
        <v>111110575</v>
      </c>
      <c r="F180">
        <f t="shared" si="2"/>
        <v>2385224644</v>
      </c>
    </row>
    <row r="181" spans="3:6" x14ac:dyDescent="0.35">
      <c r="C181" s="80" t="s">
        <v>1504</v>
      </c>
      <c r="D181" s="62">
        <v>345395275</v>
      </c>
      <c r="E181" s="62">
        <v>271272300</v>
      </c>
      <c r="F181">
        <f t="shared" si="2"/>
        <v>2385224644</v>
      </c>
    </row>
    <row r="182" spans="3:6" x14ac:dyDescent="0.35">
      <c r="C182" s="80" t="s">
        <v>1143</v>
      </c>
      <c r="D182" s="62">
        <v>343936008</v>
      </c>
      <c r="E182" s="62">
        <v>183135014</v>
      </c>
      <c r="F182">
        <f t="shared" si="2"/>
        <v>2385224644</v>
      </c>
    </row>
    <row r="183" spans="3:6" x14ac:dyDescent="0.35">
      <c r="C183" s="80" t="s">
        <v>1053</v>
      </c>
      <c r="D183" s="62">
        <v>343900000</v>
      </c>
      <c r="E183" s="62">
        <v>143619809</v>
      </c>
      <c r="F183">
        <f t="shared" si="2"/>
        <v>2385224644</v>
      </c>
    </row>
    <row r="184" spans="3:6" x14ac:dyDescent="0.35">
      <c r="C184" s="80" t="s">
        <v>1257</v>
      </c>
      <c r="D184" s="62">
        <v>341834596</v>
      </c>
      <c r="E184" s="62">
        <v>507443940</v>
      </c>
      <c r="F184">
        <f t="shared" si="2"/>
        <v>2385224644</v>
      </c>
    </row>
    <row r="185" spans="3:6" x14ac:dyDescent="0.35">
      <c r="C185" s="80" t="s">
        <v>1477</v>
      </c>
      <c r="D185" s="62">
        <v>337900000</v>
      </c>
      <c r="E185" s="62">
        <v>179750975</v>
      </c>
      <c r="F185">
        <f t="shared" si="2"/>
        <v>2385224644</v>
      </c>
    </row>
    <row r="186" spans="3:6" x14ac:dyDescent="0.35">
      <c r="C186" s="80" t="s">
        <v>1541</v>
      </c>
      <c r="D186" s="62">
        <v>333110237</v>
      </c>
      <c r="E186" s="62">
        <v>295911630</v>
      </c>
      <c r="F186">
        <f t="shared" si="2"/>
        <v>2385224644</v>
      </c>
    </row>
    <row r="187" spans="3:6" x14ac:dyDescent="0.35">
      <c r="C187" s="80" t="s">
        <v>1590</v>
      </c>
      <c r="D187" s="62">
        <v>331963964</v>
      </c>
      <c r="E187" s="62">
        <v>235565647</v>
      </c>
      <c r="F187">
        <f t="shared" si="2"/>
        <v>2385224644</v>
      </c>
    </row>
    <row r="188" spans="3:6" x14ac:dyDescent="0.35">
      <c r="C188" s="80" t="s">
        <v>1034</v>
      </c>
      <c r="D188" s="62">
        <v>330000000</v>
      </c>
      <c r="E188" s="62">
        <v>163214888</v>
      </c>
      <c r="F188">
        <f t="shared" si="2"/>
        <v>2385224644</v>
      </c>
    </row>
    <row r="189" spans="3:6" x14ac:dyDescent="0.35">
      <c r="C189" s="80" t="s">
        <v>1423</v>
      </c>
      <c r="D189" s="62">
        <v>329296654</v>
      </c>
      <c r="E189" s="62">
        <v>282402211</v>
      </c>
      <c r="F189">
        <f t="shared" si="2"/>
        <v>2385224644</v>
      </c>
    </row>
    <row r="190" spans="3:6" x14ac:dyDescent="0.35">
      <c r="C190" s="80" t="s">
        <v>1041</v>
      </c>
      <c r="D190" s="62">
        <v>327997585</v>
      </c>
      <c r="E190" s="62">
        <v>561847290</v>
      </c>
      <c r="F190">
        <f t="shared" si="2"/>
        <v>2385224644</v>
      </c>
    </row>
    <row r="191" spans="3:6" x14ac:dyDescent="0.35">
      <c r="C191" s="80" t="s">
        <v>1484</v>
      </c>
      <c r="D191" s="62">
        <v>326908614</v>
      </c>
      <c r="E191" s="62">
        <v>165904691</v>
      </c>
      <c r="F191">
        <f t="shared" si="2"/>
        <v>2385224644</v>
      </c>
    </row>
    <row r="192" spans="3:6" x14ac:dyDescent="0.35">
      <c r="C192" s="80" t="s">
        <v>1536</v>
      </c>
      <c r="D192" s="62">
        <v>325199737</v>
      </c>
      <c r="E192" s="62">
        <v>204305969</v>
      </c>
      <c r="F192">
        <f t="shared" si="2"/>
        <v>2385224644</v>
      </c>
    </row>
    <row r="193" spans="3:6" x14ac:dyDescent="0.35">
      <c r="C193" s="80" t="s">
        <v>1638</v>
      </c>
      <c r="D193" s="62">
        <v>313800000</v>
      </c>
      <c r="E193" s="62">
        <v>92112663</v>
      </c>
      <c r="F193">
        <f t="shared" si="2"/>
        <v>2385224644</v>
      </c>
    </row>
    <row r="194" spans="3:6" x14ac:dyDescent="0.35">
      <c r="C194" s="80" t="s">
        <v>1027</v>
      </c>
      <c r="D194" s="62">
        <v>313800000</v>
      </c>
      <c r="E194" s="62">
        <v>93589701</v>
      </c>
      <c r="F194">
        <f t="shared" si="2"/>
        <v>2385224644</v>
      </c>
    </row>
    <row r="195" spans="3:6" x14ac:dyDescent="0.35">
      <c r="C195" s="80" t="s">
        <v>1103</v>
      </c>
      <c r="D195" s="62">
        <v>310384911</v>
      </c>
      <c r="E195" s="62">
        <v>192898236</v>
      </c>
      <c r="F195">
        <f t="shared" si="2"/>
        <v>2385224644</v>
      </c>
    </row>
    <row r="196" spans="3:6" x14ac:dyDescent="0.35">
      <c r="C196" s="80" t="s">
        <v>1172</v>
      </c>
      <c r="D196" s="62">
        <v>309200000</v>
      </c>
      <c r="E196" s="62">
        <v>101802906</v>
      </c>
      <c r="F196">
        <f t="shared" si="2"/>
        <v>2385224644</v>
      </c>
    </row>
    <row r="197" spans="3:6" x14ac:dyDescent="0.35">
      <c r="C197" s="80" t="s">
        <v>1210</v>
      </c>
      <c r="D197" s="62">
        <v>308782830</v>
      </c>
      <c r="E197" s="62">
        <v>223808164</v>
      </c>
      <c r="F197">
        <f t="shared" si="2"/>
        <v>2385224644</v>
      </c>
    </row>
    <row r="198" spans="3:6" x14ac:dyDescent="0.35">
      <c r="C198" s="80" t="s">
        <v>1049</v>
      </c>
      <c r="D198" s="62">
        <v>307640278</v>
      </c>
      <c r="E198" s="62">
        <v>372234133</v>
      </c>
      <c r="F198">
        <f t="shared" si="2"/>
        <v>2385224644</v>
      </c>
    </row>
    <row r="199" spans="3:6" x14ac:dyDescent="0.35">
      <c r="C199" s="80" t="s">
        <v>1553</v>
      </c>
      <c r="D199" s="62">
        <v>303767070</v>
      </c>
      <c r="E199" s="62">
        <v>275820245</v>
      </c>
      <c r="F199">
        <f t="shared" si="2"/>
        <v>2385224644</v>
      </c>
    </row>
    <row r="200" spans="3:6" x14ac:dyDescent="0.35">
      <c r="C200" s="80" t="s">
        <v>1163</v>
      </c>
      <c r="D200" s="62">
        <v>299968694</v>
      </c>
      <c r="E200" s="62">
        <v>206143657</v>
      </c>
      <c r="F200">
        <f t="shared" si="2"/>
        <v>2385224644</v>
      </c>
    </row>
    <row r="201" spans="3:6" x14ac:dyDescent="0.35">
      <c r="C201" s="80" t="s">
        <v>1310</v>
      </c>
      <c r="D201" s="62">
        <v>298657148</v>
      </c>
      <c r="E201" s="62">
        <v>337626054</v>
      </c>
      <c r="F201">
        <f t="shared" si="2"/>
        <v>2385224644</v>
      </c>
    </row>
    <row r="202" spans="3:6" x14ac:dyDescent="0.35">
      <c r="C202" s="80" t="s">
        <v>1500</v>
      </c>
      <c r="D202" s="62">
        <v>297154830</v>
      </c>
      <c r="E202" s="62">
        <v>83700000</v>
      </c>
      <c r="F202">
        <f t="shared" si="2"/>
        <v>2385224644</v>
      </c>
    </row>
    <row r="203" spans="3:6" x14ac:dyDescent="0.35">
      <c r="C203" s="80" t="s">
        <v>1167</v>
      </c>
      <c r="D203" s="62">
        <v>297154830</v>
      </c>
      <c r="E203" s="62">
        <v>70107728</v>
      </c>
      <c r="F203">
        <f t="shared" si="2"/>
        <v>2385224644</v>
      </c>
    </row>
    <row r="204" spans="3:6" x14ac:dyDescent="0.35">
      <c r="C204" s="80" t="s">
        <v>1252</v>
      </c>
      <c r="D204" s="62">
        <v>291981048</v>
      </c>
      <c r="E204" s="62">
        <v>251513985</v>
      </c>
      <c r="F204">
        <f t="shared" si="2"/>
        <v>2385224644</v>
      </c>
    </row>
    <row r="205" spans="3:6" x14ac:dyDescent="0.35">
      <c r="C205" s="80" t="s">
        <v>1158</v>
      </c>
      <c r="D205" s="62">
        <v>290776304</v>
      </c>
      <c r="E205" s="62">
        <v>207929962</v>
      </c>
      <c r="F205">
        <f t="shared" si="2"/>
        <v>2385224644</v>
      </c>
    </row>
    <row r="206" spans="3:6" x14ac:dyDescent="0.35">
      <c r="C206" s="80" t="s">
        <v>1643</v>
      </c>
      <c r="D206" s="62">
        <v>290750005</v>
      </c>
      <c r="E206" s="62">
        <v>289780584</v>
      </c>
      <c r="F206">
        <f t="shared" si="2"/>
        <v>2385224644</v>
      </c>
    </row>
    <row r="207" spans="3:6" x14ac:dyDescent="0.35">
      <c r="C207" s="80" t="s">
        <v>1438</v>
      </c>
      <c r="D207" s="62">
        <v>288954280</v>
      </c>
      <c r="E207" s="62">
        <v>111634286</v>
      </c>
      <c r="F207">
        <f t="shared" si="2"/>
        <v>2385224644</v>
      </c>
    </row>
    <row r="208" spans="3:6" x14ac:dyDescent="0.35">
      <c r="C208" s="80" t="s">
        <v>1082</v>
      </c>
      <c r="D208" s="62">
        <v>288687470</v>
      </c>
      <c r="E208" s="62">
        <v>174311383</v>
      </c>
      <c r="F208">
        <f t="shared" si="2"/>
        <v>2385224644</v>
      </c>
    </row>
    <row r="209" spans="3:6" x14ac:dyDescent="0.35">
      <c r="C209" s="80" t="s">
        <v>1557</v>
      </c>
      <c r="D209" s="62">
        <v>284000000</v>
      </c>
      <c r="E209" s="62">
        <v>234362462</v>
      </c>
      <c r="F209">
        <f t="shared" si="2"/>
        <v>2385224644</v>
      </c>
    </row>
    <row r="210" spans="3:6" x14ac:dyDescent="0.35">
      <c r="C210" s="80" t="s">
        <v>1353</v>
      </c>
      <c r="D210" s="62">
        <v>283490651</v>
      </c>
      <c r="E210" s="62">
        <v>291306232</v>
      </c>
      <c r="F210">
        <f t="shared" si="2"/>
        <v>2385224644</v>
      </c>
    </row>
    <row r="211" spans="3:6" x14ac:dyDescent="0.35">
      <c r="C211" s="80" t="s">
        <v>1230</v>
      </c>
      <c r="D211" s="62">
        <v>277529739</v>
      </c>
      <c r="E211" s="62">
        <v>71017784</v>
      </c>
      <c r="F211">
        <f t="shared" si="2"/>
        <v>2385224644</v>
      </c>
    </row>
    <row r="212" spans="3:6" x14ac:dyDescent="0.35">
      <c r="C212" s="80" t="s">
        <v>1618</v>
      </c>
      <c r="D212" s="62">
        <v>277100000</v>
      </c>
      <c r="E212" s="62">
        <v>171091819</v>
      </c>
      <c r="F212">
        <f t="shared" si="2"/>
        <v>2385224644</v>
      </c>
    </row>
    <row r="213" spans="3:6" x14ac:dyDescent="0.35">
      <c r="C213" s="80" t="s">
        <v>1249</v>
      </c>
      <c r="D213" s="62">
        <v>277000000</v>
      </c>
      <c r="E213" s="62">
        <v>195705225</v>
      </c>
      <c r="F213">
        <f t="shared" si="2"/>
        <v>2385224644</v>
      </c>
    </row>
    <row r="214" spans="3:6" x14ac:dyDescent="0.35">
      <c r="C214" s="80" t="s">
        <v>1478</v>
      </c>
      <c r="D214" s="62">
        <v>275719798</v>
      </c>
      <c r="E214" s="62">
        <v>141621490</v>
      </c>
      <c r="F214">
        <f t="shared" si="2"/>
        <v>2385224644</v>
      </c>
    </row>
    <row r="215" spans="3:6" x14ac:dyDescent="0.35">
      <c r="C215" s="80" t="s">
        <v>1460</v>
      </c>
      <c r="D215" s="62">
        <v>272528622</v>
      </c>
      <c r="E215" s="62">
        <v>126477084</v>
      </c>
      <c r="F215">
        <f t="shared" si="2"/>
        <v>2385224644</v>
      </c>
    </row>
    <row r="216" spans="3:6" x14ac:dyDescent="0.35">
      <c r="C216" s="80" t="s">
        <v>1386</v>
      </c>
      <c r="D216" s="62">
        <v>271000000</v>
      </c>
      <c r="E216" s="62">
        <v>160932247</v>
      </c>
      <c r="F216">
        <f t="shared" si="2"/>
        <v>2385224644</v>
      </c>
    </row>
    <row r="217" spans="3:6" x14ac:dyDescent="0.35">
      <c r="C217" s="80" t="s">
        <v>1131</v>
      </c>
      <c r="D217" s="62">
        <v>270164055</v>
      </c>
      <c r="E217" s="62">
        <v>337712055</v>
      </c>
      <c r="F217">
        <f t="shared" si="2"/>
        <v>2385224644</v>
      </c>
    </row>
    <row r="218" spans="3:6" x14ac:dyDescent="0.35">
      <c r="C218" s="80" t="s">
        <v>1632</v>
      </c>
      <c r="D218" s="62">
        <v>269912687</v>
      </c>
      <c r="E218" s="62">
        <v>408010692</v>
      </c>
      <c r="F218">
        <f t="shared" si="2"/>
        <v>2385224644</v>
      </c>
    </row>
    <row r="219" spans="3:6" x14ac:dyDescent="0.35">
      <c r="C219" s="80" t="s">
        <v>1264</v>
      </c>
      <c r="D219" s="62">
        <v>269366408</v>
      </c>
      <c r="E219" s="62">
        <v>206459076</v>
      </c>
      <c r="F219">
        <f t="shared" si="2"/>
        <v>2385224644</v>
      </c>
    </row>
    <row r="220" spans="3:6" x14ac:dyDescent="0.35">
      <c r="C220" s="80" t="s">
        <v>1343</v>
      </c>
      <c r="D220" s="62">
        <v>268295994</v>
      </c>
      <c r="E220" s="62">
        <v>181030624</v>
      </c>
      <c r="F220">
        <f t="shared" si="2"/>
        <v>2385224644</v>
      </c>
    </row>
    <row r="221" spans="3:6" x14ac:dyDescent="0.35">
      <c r="C221" s="80" t="s">
        <v>1256</v>
      </c>
      <c r="D221" s="62">
        <v>267426587</v>
      </c>
      <c r="E221" s="62">
        <v>154736265</v>
      </c>
      <c r="F221">
        <f t="shared" si="2"/>
        <v>2385224644</v>
      </c>
    </row>
    <row r="222" spans="3:6" x14ac:dyDescent="0.35">
      <c r="C222" s="80" t="s">
        <v>1362</v>
      </c>
      <c r="D222" s="62">
        <v>266089167</v>
      </c>
      <c r="E222" s="62">
        <v>99983259</v>
      </c>
      <c r="F222">
        <f t="shared" si="2"/>
        <v>2385224644</v>
      </c>
    </row>
    <row r="223" spans="3:6" x14ac:dyDescent="0.35">
      <c r="C223" s="80" t="s">
        <v>1525</v>
      </c>
      <c r="D223" s="62">
        <v>266089167</v>
      </c>
      <c r="E223" s="62">
        <v>73026337</v>
      </c>
      <c r="F223">
        <f t="shared" ref="F223:F286" si="3">GETPIVOTDATA("Sum of International Box Office",$C$29,"Lead Actor","Adam Sandler")+GETPIVOTDATA("Sum of Domestic Box Office",$C$29,"Lead Actor","Adam Sandler")</f>
        <v>2385224644</v>
      </c>
    </row>
    <row r="224" spans="3:6" x14ac:dyDescent="0.35">
      <c r="C224" s="80" t="s">
        <v>1487</v>
      </c>
      <c r="D224" s="62">
        <v>265000000</v>
      </c>
      <c r="E224" s="62">
        <v>283228676</v>
      </c>
      <c r="F224">
        <f t="shared" si="3"/>
        <v>2385224644</v>
      </c>
    </row>
    <row r="225" spans="3:6" x14ac:dyDescent="0.35">
      <c r="C225" s="80" t="s">
        <v>1444</v>
      </c>
      <c r="D225" s="62">
        <v>264200000</v>
      </c>
      <c r="E225" s="62">
        <v>81612565</v>
      </c>
      <c r="F225">
        <f t="shared" si="3"/>
        <v>2385224644</v>
      </c>
    </row>
    <row r="226" spans="3:6" x14ac:dyDescent="0.35">
      <c r="C226" s="80" t="s">
        <v>1431</v>
      </c>
      <c r="D226" s="62">
        <v>263445127</v>
      </c>
      <c r="E226" s="62">
        <v>255264945</v>
      </c>
      <c r="F226">
        <f t="shared" si="3"/>
        <v>2385224644</v>
      </c>
    </row>
    <row r="227" spans="3:6" x14ac:dyDescent="0.35">
      <c r="C227" s="80" t="s">
        <v>1218</v>
      </c>
      <c r="D227" s="62">
        <v>259078505</v>
      </c>
      <c r="E227" s="62">
        <v>179600000</v>
      </c>
      <c r="F227">
        <f t="shared" si="3"/>
        <v>2385224644</v>
      </c>
    </row>
    <row r="228" spans="3:6" x14ac:dyDescent="0.35">
      <c r="C228" s="80" t="s">
        <v>1512</v>
      </c>
      <c r="D228" s="62">
        <v>258583693</v>
      </c>
      <c r="E228" s="62">
        <v>220364746</v>
      </c>
      <c r="F228">
        <f t="shared" si="3"/>
        <v>2385224644</v>
      </c>
    </row>
    <row r="229" spans="3:6" x14ac:dyDescent="0.35">
      <c r="C229" s="80" t="s">
        <v>1237</v>
      </c>
      <c r="D229" s="62">
        <v>254239604</v>
      </c>
      <c r="E229" s="62">
        <v>175119672</v>
      </c>
      <c r="F229">
        <f t="shared" si="3"/>
        <v>2385224644</v>
      </c>
    </row>
    <row r="230" spans="3:6" x14ac:dyDescent="0.35">
      <c r="C230" s="80" t="s">
        <v>1317</v>
      </c>
      <c r="D230" s="62">
        <v>252471217</v>
      </c>
      <c r="E230" s="62">
        <v>451630230</v>
      </c>
      <c r="F230">
        <f t="shared" si="3"/>
        <v>2385224644</v>
      </c>
    </row>
    <row r="231" spans="3:6" x14ac:dyDescent="0.35">
      <c r="C231" s="80" t="s">
        <v>1261</v>
      </c>
      <c r="D231" s="62">
        <v>251637737</v>
      </c>
      <c r="E231" s="62">
        <v>370782930</v>
      </c>
      <c r="F231">
        <f t="shared" si="3"/>
        <v>2385224644</v>
      </c>
    </row>
    <row r="232" spans="3:6" x14ac:dyDescent="0.35">
      <c r="C232" s="80" t="s">
        <v>1497</v>
      </c>
      <c r="D232" s="62">
        <v>249400000</v>
      </c>
      <c r="E232" s="62">
        <v>122523060</v>
      </c>
      <c r="F232">
        <f t="shared" si="3"/>
        <v>2385224644</v>
      </c>
    </row>
    <row r="233" spans="3:6" x14ac:dyDescent="0.35">
      <c r="C233" s="80" t="s">
        <v>1306</v>
      </c>
      <c r="D233" s="62">
        <v>246000000</v>
      </c>
      <c r="E233" s="62">
        <v>219815961</v>
      </c>
      <c r="F233">
        <f t="shared" si="3"/>
        <v>2385224644</v>
      </c>
    </row>
    <row r="234" spans="3:6" x14ac:dyDescent="0.35">
      <c r="C234" s="80" t="s">
        <v>1453</v>
      </c>
      <c r="D234" s="62">
        <v>245839557</v>
      </c>
      <c r="E234" s="62">
        <v>251368724</v>
      </c>
      <c r="F234">
        <f t="shared" si="3"/>
        <v>2385224644</v>
      </c>
    </row>
    <row r="235" spans="3:6" x14ac:dyDescent="0.35">
      <c r="C235" s="80" t="s">
        <v>1293</v>
      </c>
      <c r="D235" s="62">
        <v>243900000</v>
      </c>
      <c r="E235" s="62">
        <v>290158751</v>
      </c>
      <c r="F235">
        <f t="shared" si="3"/>
        <v>2385224644</v>
      </c>
    </row>
    <row r="236" spans="3:6" x14ac:dyDescent="0.35">
      <c r="C236" s="80" t="s">
        <v>1483</v>
      </c>
      <c r="D236" s="62">
        <v>243546996</v>
      </c>
      <c r="E236" s="62">
        <v>210592590</v>
      </c>
      <c r="F236">
        <f t="shared" si="3"/>
        <v>2385224644</v>
      </c>
    </row>
    <row r="237" spans="3:6" x14ac:dyDescent="0.35">
      <c r="C237" s="80" t="s">
        <v>1136</v>
      </c>
      <c r="D237" s="62">
        <v>243199737</v>
      </c>
      <c r="E237" s="62">
        <v>81150692</v>
      </c>
      <c r="F237">
        <f t="shared" si="3"/>
        <v>2385224644</v>
      </c>
    </row>
    <row r="238" spans="3:6" x14ac:dyDescent="0.35">
      <c r="C238" s="80" t="s">
        <v>1245</v>
      </c>
      <c r="D238" s="62">
        <v>243199737</v>
      </c>
      <c r="E238" s="62">
        <v>141319928</v>
      </c>
      <c r="F238">
        <f t="shared" si="3"/>
        <v>2385224644</v>
      </c>
    </row>
    <row r="239" spans="3:6" x14ac:dyDescent="0.35">
      <c r="C239" s="80" t="s">
        <v>1298</v>
      </c>
      <c r="D239" s="62">
        <v>241619072</v>
      </c>
      <c r="E239" s="62">
        <v>157612121</v>
      </c>
      <c r="F239">
        <f t="shared" si="3"/>
        <v>2385224644</v>
      </c>
    </row>
    <row r="240" spans="3:6" x14ac:dyDescent="0.35">
      <c r="C240" s="80" t="s">
        <v>1413</v>
      </c>
      <c r="D240" s="62">
        <v>241181576</v>
      </c>
      <c r="E240" s="62">
        <v>268414306</v>
      </c>
      <c r="F240">
        <f t="shared" si="3"/>
        <v>2385224644</v>
      </c>
    </row>
    <row r="241" spans="3:6" x14ac:dyDescent="0.35">
      <c r="C241" s="80" t="s">
        <v>1537</v>
      </c>
      <c r="D241" s="62">
        <v>240768967</v>
      </c>
      <c r="E241" s="62">
        <v>242704995</v>
      </c>
      <c r="F241">
        <f t="shared" si="3"/>
        <v>2385224644</v>
      </c>
    </row>
    <row r="242" spans="3:6" x14ac:dyDescent="0.35">
      <c r="C242" s="80" t="s">
        <v>1432</v>
      </c>
      <c r="D242" s="62">
        <v>239991158</v>
      </c>
      <c r="E242" s="62">
        <v>175293948</v>
      </c>
      <c r="F242">
        <f t="shared" si="3"/>
        <v>2385224644</v>
      </c>
    </row>
    <row r="243" spans="3:6" x14ac:dyDescent="0.35">
      <c r="C243" s="80" t="s">
        <v>1184</v>
      </c>
      <c r="D243" s="62">
        <v>239833589</v>
      </c>
      <c r="E243" s="62">
        <v>296228055</v>
      </c>
      <c r="F243">
        <f t="shared" si="3"/>
        <v>2385224644</v>
      </c>
    </row>
    <row r="244" spans="3:6" x14ac:dyDescent="0.35">
      <c r="C244" s="80" t="s">
        <v>1188</v>
      </c>
      <c r="D244" s="62">
        <v>239685706</v>
      </c>
      <c r="E244" s="62">
        <v>200672193</v>
      </c>
      <c r="F244">
        <f t="shared" si="3"/>
        <v>2385224644</v>
      </c>
    </row>
    <row r="245" spans="3:6" x14ac:dyDescent="0.35">
      <c r="C245" s="80" t="s">
        <v>1442</v>
      </c>
      <c r="D245" s="62">
        <v>234972776</v>
      </c>
      <c r="E245" s="62">
        <v>115881197</v>
      </c>
      <c r="F245">
        <f t="shared" si="3"/>
        <v>2385224644</v>
      </c>
    </row>
    <row r="246" spans="3:6" x14ac:dyDescent="0.35">
      <c r="C246" s="80" t="s">
        <v>1247</v>
      </c>
      <c r="D246" s="62">
        <v>234000000</v>
      </c>
      <c r="E246" s="62">
        <v>117723989</v>
      </c>
      <c r="F246">
        <f t="shared" si="3"/>
        <v>2385224644</v>
      </c>
    </row>
    <row r="247" spans="3:6" x14ac:dyDescent="0.35">
      <c r="C247" s="80" t="s">
        <v>1356</v>
      </c>
      <c r="D247" s="62">
        <v>233103872</v>
      </c>
      <c r="E247" s="62">
        <v>93953653</v>
      </c>
      <c r="F247">
        <f t="shared" si="3"/>
        <v>2385224644</v>
      </c>
    </row>
    <row r="248" spans="3:6" x14ac:dyDescent="0.35">
      <c r="C248" s="80" t="s">
        <v>1329</v>
      </c>
      <c r="D248" s="62">
        <v>228000000</v>
      </c>
      <c r="E248" s="62">
        <v>100058010</v>
      </c>
      <c r="F248">
        <f t="shared" si="3"/>
        <v>2385224644</v>
      </c>
    </row>
    <row r="249" spans="3:6" x14ac:dyDescent="0.35">
      <c r="C249" s="80" t="s">
        <v>1148</v>
      </c>
      <c r="D249" s="62">
        <v>227968792</v>
      </c>
      <c r="E249" s="62">
        <v>125388575</v>
      </c>
      <c r="F249">
        <f t="shared" si="3"/>
        <v>2385224644</v>
      </c>
    </row>
    <row r="250" spans="3:6" x14ac:dyDescent="0.35">
      <c r="C250" s="80" t="s">
        <v>1578</v>
      </c>
      <c r="D250" s="62">
        <v>226200000</v>
      </c>
      <c r="E250" s="62">
        <v>130058047</v>
      </c>
      <c r="F250">
        <f t="shared" si="3"/>
        <v>2385224644</v>
      </c>
    </row>
    <row r="251" spans="3:6" x14ac:dyDescent="0.35">
      <c r="C251" s="80" t="s">
        <v>1215</v>
      </c>
      <c r="D251" s="62">
        <v>225500000</v>
      </c>
      <c r="E251" s="62">
        <v>172062763</v>
      </c>
      <c r="F251">
        <f t="shared" si="3"/>
        <v>2385224644</v>
      </c>
    </row>
    <row r="252" spans="3:6" x14ac:dyDescent="0.35">
      <c r="C252" s="80" t="s">
        <v>1337</v>
      </c>
      <c r="D252" s="62">
        <v>225361149</v>
      </c>
      <c r="E252" s="62">
        <v>100117603</v>
      </c>
      <c r="F252">
        <f t="shared" si="3"/>
        <v>2385224644</v>
      </c>
    </row>
    <row r="253" spans="3:6" x14ac:dyDescent="0.35">
      <c r="C253" s="80" t="s">
        <v>1493</v>
      </c>
      <c r="D253" s="62">
        <v>225298388</v>
      </c>
      <c r="E253" s="62">
        <v>95494598</v>
      </c>
      <c r="F253">
        <f t="shared" si="3"/>
        <v>2385224644</v>
      </c>
    </row>
    <row r="254" spans="3:6" x14ac:dyDescent="0.35">
      <c r="C254" s="80" t="s">
        <v>1400</v>
      </c>
      <c r="D254" s="62">
        <v>225006092</v>
      </c>
      <c r="E254" s="62">
        <v>165360108</v>
      </c>
      <c r="F254">
        <f t="shared" si="3"/>
        <v>2385224644</v>
      </c>
    </row>
    <row r="255" spans="3:6" x14ac:dyDescent="0.35">
      <c r="C255" s="80" t="s">
        <v>1456</v>
      </c>
      <c r="D255" s="62">
        <v>224200000</v>
      </c>
      <c r="E255" s="62">
        <v>95020213</v>
      </c>
      <c r="F255">
        <f t="shared" si="3"/>
        <v>2385224644</v>
      </c>
    </row>
    <row r="256" spans="3:6" x14ac:dyDescent="0.35">
      <c r="C256" s="80" t="s">
        <v>1579</v>
      </c>
      <c r="D256" s="62">
        <v>224200000</v>
      </c>
      <c r="E256" s="62">
        <v>106580051</v>
      </c>
      <c r="F256">
        <f t="shared" si="3"/>
        <v>2385224644</v>
      </c>
    </row>
    <row r="257" spans="3:6" x14ac:dyDescent="0.35">
      <c r="C257" s="80" t="s">
        <v>1576</v>
      </c>
      <c r="D257" s="62">
        <v>223834921</v>
      </c>
      <c r="E257" s="62">
        <v>90759676</v>
      </c>
      <c r="F257">
        <f t="shared" si="3"/>
        <v>2385224644</v>
      </c>
    </row>
    <row r="258" spans="3:6" x14ac:dyDescent="0.35">
      <c r="C258" s="80" t="s">
        <v>1224</v>
      </c>
      <c r="D258" s="62">
        <v>223834921</v>
      </c>
      <c r="E258" s="62">
        <v>69847348</v>
      </c>
      <c r="F258">
        <f t="shared" si="3"/>
        <v>2385224644</v>
      </c>
    </row>
    <row r="259" spans="3:6" x14ac:dyDescent="0.35">
      <c r="C259" s="80" t="s">
        <v>1600</v>
      </c>
      <c r="D259" s="62">
        <v>222102078</v>
      </c>
      <c r="E259" s="62">
        <v>286106109</v>
      </c>
      <c r="F259">
        <f t="shared" si="3"/>
        <v>2385224644</v>
      </c>
    </row>
    <row r="260" spans="3:6" x14ac:dyDescent="0.35">
      <c r="C260" s="80" t="s">
        <v>1539</v>
      </c>
      <c r="D260" s="62">
        <v>221600000</v>
      </c>
      <c r="E260" s="62">
        <v>83670083</v>
      </c>
      <c r="F260">
        <f t="shared" si="3"/>
        <v>2385224644</v>
      </c>
    </row>
    <row r="261" spans="3:6" x14ac:dyDescent="0.35">
      <c r="C261" s="80" t="s">
        <v>1609</v>
      </c>
      <c r="D261" s="62">
        <v>219500000</v>
      </c>
      <c r="E261" s="62">
        <v>153636354</v>
      </c>
      <c r="F261">
        <f t="shared" si="3"/>
        <v>2385224644</v>
      </c>
    </row>
    <row r="262" spans="3:6" x14ac:dyDescent="0.35">
      <c r="C262" s="80" t="s">
        <v>1328</v>
      </c>
      <c r="D262" s="62">
        <v>218838260</v>
      </c>
      <c r="E262" s="62">
        <v>305694209</v>
      </c>
      <c r="F262">
        <f t="shared" si="3"/>
        <v>2385224644</v>
      </c>
    </row>
    <row r="263" spans="3:6" x14ac:dyDescent="0.35">
      <c r="C263" s="80" t="s">
        <v>1236</v>
      </c>
      <c r="D263" s="62">
        <v>218400000</v>
      </c>
      <c r="E263" s="62">
        <v>137748063</v>
      </c>
      <c r="F263">
        <f t="shared" si="3"/>
        <v>2385224644</v>
      </c>
    </row>
    <row r="264" spans="3:6" x14ac:dyDescent="0.35">
      <c r="C264" s="80" t="s">
        <v>1043</v>
      </c>
      <c r="D264" s="62">
        <v>217568264</v>
      </c>
      <c r="E264" s="62">
        <v>244082982</v>
      </c>
      <c r="F264">
        <f t="shared" si="3"/>
        <v>2385224644</v>
      </c>
    </row>
    <row r="265" spans="3:6" x14ac:dyDescent="0.35">
      <c r="C265" s="80" t="s">
        <v>1585</v>
      </c>
      <c r="D265" s="62">
        <v>217353136</v>
      </c>
      <c r="E265" s="62">
        <v>385593510</v>
      </c>
      <c r="F265">
        <f t="shared" si="3"/>
        <v>2385224644</v>
      </c>
    </row>
    <row r="266" spans="3:6" x14ac:dyDescent="0.35">
      <c r="C266" s="80" t="s">
        <v>1279</v>
      </c>
      <c r="D266" s="62">
        <v>215981134</v>
      </c>
      <c r="E266" s="62">
        <v>133107389</v>
      </c>
      <c r="F266">
        <f t="shared" si="3"/>
        <v>2385224644</v>
      </c>
    </row>
    <row r="267" spans="3:6" x14ac:dyDescent="0.35">
      <c r="C267" s="80" t="s">
        <v>1548</v>
      </c>
      <c r="D267" s="62">
        <v>214690492</v>
      </c>
      <c r="E267" s="62">
        <v>227471070</v>
      </c>
      <c r="F267">
        <f t="shared" si="3"/>
        <v>2385224644</v>
      </c>
    </row>
    <row r="268" spans="3:6" x14ac:dyDescent="0.35">
      <c r="C268" s="80" t="s">
        <v>1582</v>
      </c>
      <c r="D268" s="62">
        <v>213961450</v>
      </c>
      <c r="E268" s="62">
        <v>114053759</v>
      </c>
      <c r="F268">
        <f t="shared" si="3"/>
        <v>2385224644</v>
      </c>
    </row>
    <row r="269" spans="3:6" x14ac:dyDescent="0.35">
      <c r="C269" s="80" t="s">
        <v>1499</v>
      </c>
      <c r="D269" s="62">
        <v>212677264</v>
      </c>
      <c r="E269" s="62">
        <v>127706877</v>
      </c>
      <c r="F269">
        <f t="shared" si="3"/>
        <v>2385224644</v>
      </c>
    </row>
    <row r="270" spans="3:6" x14ac:dyDescent="0.35">
      <c r="C270" s="80" t="s">
        <v>1509</v>
      </c>
      <c r="D270" s="62">
        <v>210700000</v>
      </c>
      <c r="E270" s="62">
        <v>260000000</v>
      </c>
      <c r="F270">
        <f t="shared" si="3"/>
        <v>2385224644</v>
      </c>
    </row>
    <row r="271" spans="3:6" x14ac:dyDescent="0.35">
      <c r="C271" s="80" t="s">
        <v>1588</v>
      </c>
      <c r="D271" s="62">
        <v>209719421</v>
      </c>
      <c r="E271" s="62">
        <v>73058679</v>
      </c>
      <c r="F271">
        <f t="shared" si="3"/>
        <v>2385224644</v>
      </c>
    </row>
    <row r="272" spans="3:6" x14ac:dyDescent="0.35">
      <c r="C272" s="80" t="s">
        <v>1621</v>
      </c>
      <c r="D272" s="62">
        <v>209352340</v>
      </c>
      <c r="E272" s="62">
        <v>220145175</v>
      </c>
      <c r="F272">
        <f t="shared" si="3"/>
        <v>2385224644</v>
      </c>
    </row>
    <row r="273" spans="3:6" x14ac:dyDescent="0.35">
      <c r="C273" s="80" t="s">
        <v>1205</v>
      </c>
      <c r="D273" s="62">
        <v>209000000</v>
      </c>
      <c r="E273" s="62">
        <v>140300426</v>
      </c>
      <c r="F273">
        <f t="shared" si="3"/>
        <v>2385224644</v>
      </c>
    </row>
    <row r="274" spans="3:6" x14ac:dyDescent="0.35">
      <c r="C274" s="80" t="s">
        <v>1302</v>
      </c>
      <c r="D274" s="62">
        <v>208688443</v>
      </c>
      <c r="E274" s="62">
        <v>177397510</v>
      </c>
      <c r="F274">
        <f t="shared" si="3"/>
        <v>2385224644</v>
      </c>
    </row>
    <row r="275" spans="3:6" x14ac:dyDescent="0.35">
      <c r="C275" s="80" t="s">
        <v>1101</v>
      </c>
      <c r="D275" s="62">
        <v>208100000</v>
      </c>
      <c r="E275" s="62">
        <v>201100385</v>
      </c>
      <c r="F275">
        <f t="shared" si="3"/>
        <v>2385224644</v>
      </c>
    </row>
    <row r="276" spans="3:6" x14ac:dyDescent="0.35">
      <c r="C276" s="80" t="s">
        <v>1560</v>
      </c>
      <c r="D276" s="62">
        <v>208000000</v>
      </c>
      <c r="E276" s="62">
        <v>155064265</v>
      </c>
      <c r="F276">
        <f t="shared" si="3"/>
        <v>2385224644</v>
      </c>
    </row>
    <row r="277" spans="3:6" x14ac:dyDescent="0.35">
      <c r="C277" s="80" t="s">
        <v>1449</v>
      </c>
      <c r="D277" s="62">
        <v>205124462</v>
      </c>
      <c r="E277" s="62">
        <v>205035751</v>
      </c>
      <c r="F277">
        <f t="shared" si="3"/>
        <v>2385224644</v>
      </c>
    </row>
    <row r="278" spans="3:6" x14ac:dyDescent="0.35">
      <c r="C278" s="80" t="s">
        <v>1251</v>
      </c>
      <c r="D278" s="62">
        <v>204870955</v>
      </c>
      <c r="E278" s="62">
        <v>235382491</v>
      </c>
      <c r="F278">
        <f t="shared" si="3"/>
        <v>2385224644</v>
      </c>
    </row>
    <row r="279" spans="3:6" x14ac:dyDescent="0.35">
      <c r="C279" s="80" t="s">
        <v>1032</v>
      </c>
      <c r="D279" s="62">
        <v>203828562</v>
      </c>
      <c r="E279" s="62">
        <v>144795350</v>
      </c>
      <c r="F279">
        <f t="shared" si="3"/>
        <v>2385224644</v>
      </c>
    </row>
    <row r="280" spans="3:6" x14ac:dyDescent="0.35">
      <c r="C280" s="80" t="s">
        <v>1385</v>
      </c>
      <c r="D280" s="62">
        <v>202300000</v>
      </c>
      <c r="E280" s="62">
        <v>127509326</v>
      </c>
      <c r="F280">
        <f t="shared" si="3"/>
        <v>2385224644</v>
      </c>
    </row>
    <row r="281" spans="3:6" x14ac:dyDescent="0.35">
      <c r="C281" s="80" t="s">
        <v>1191</v>
      </c>
      <c r="D281" s="62">
        <v>201332695</v>
      </c>
      <c r="E281" s="62">
        <v>124740460</v>
      </c>
      <c r="F281">
        <f t="shared" si="3"/>
        <v>2385224644</v>
      </c>
    </row>
    <row r="282" spans="3:6" x14ac:dyDescent="0.35">
      <c r="C282" s="80" t="s">
        <v>1457</v>
      </c>
      <c r="D282" s="62">
        <v>201288045</v>
      </c>
      <c r="E282" s="62">
        <v>169038047</v>
      </c>
      <c r="F282">
        <f t="shared" si="3"/>
        <v>2385224644</v>
      </c>
    </row>
    <row r="283" spans="3:6" x14ac:dyDescent="0.35">
      <c r="C283" s="80" t="s">
        <v>1038</v>
      </c>
      <c r="D283" s="62">
        <v>200329138</v>
      </c>
      <c r="E283" s="62">
        <v>93617009</v>
      </c>
      <c r="F283">
        <f t="shared" si="3"/>
        <v>2385224644</v>
      </c>
    </row>
    <row r="284" spans="3:6" x14ac:dyDescent="0.35">
      <c r="C284" s="80" t="s">
        <v>1036</v>
      </c>
      <c r="D284" s="62">
        <v>199944670</v>
      </c>
      <c r="E284" s="62">
        <v>257784718</v>
      </c>
      <c r="F284">
        <f t="shared" si="3"/>
        <v>2385224644</v>
      </c>
    </row>
    <row r="285" spans="3:6" x14ac:dyDescent="0.35">
      <c r="C285" s="80" t="s">
        <v>1124</v>
      </c>
      <c r="D285" s="62">
        <v>198355283</v>
      </c>
      <c r="E285" s="62">
        <v>163142445</v>
      </c>
      <c r="F285">
        <f t="shared" si="3"/>
        <v>2385224644</v>
      </c>
    </row>
    <row r="286" spans="3:6" x14ac:dyDescent="0.35">
      <c r="C286" s="80" t="s">
        <v>1366</v>
      </c>
      <c r="D286" s="62">
        <v>197867132</v>
      </c>
      <c r="E286" s="62">
        <v>204868002</v>
      </c>
      <c r="F286">
        <f t="shared" si="3"/>
        <v>2385224644</v>
      </c>
    </row>
    <row r="287" spans="3:6" x14ac:dyDescent="0.35">
      <c r="C287" s="80" t="s">
        <v>1083</v>
      </c>
      <c r="D287" s="62">
        <v>197387508</v>
      </c>
      <c r="E287" s="62">
        <v>151931137</v>
      </c>
      <c r="F287">
        <f t="shared" ref="F287:F350" si="4">GETPIVOTDATA("Sum of International Box Office",$C$29,"Lead Actor","Adam Sandler")+GETPIVOTDATA("Sum of Domestic Box Office",$C$29,"Lead Actor","Adam Sandler")</f>
        <v>2385224644</v>
      </c>
    </row>
    <row r="288" spans="3:6" x14ac:dyDescent="0.35">
      <c r="C288" s="80" t="s">
        <v>1604</v>
      </c>
      <c r="D288" s="62">
        <v>195638091</v>
      </c>
      <c r="E288" s="62">
        <v>238579616</v>
      </c>
      <c r="F288">
        <f t="shared" si="4"/>
        <v>2385224644</v>
      </c>
    </row>
    <row r="289" spans="3:6" x14ac:dyDescent="0.35">
      <c r="C289" s="80" t="s">
        <v>1288</v>
      </c>
      <c r="D289" s="62">
        <v>193598374</v>
      </c>
      <c r="E289" s="62">
        <v>233632142</v>
      </c>
      <c r="F289">
        <f t="shared" si="4"/>
        <v>2385224644</v>
      </c>
    </row>
    <row r="290" spans="3:6" x14ac:dyDescent="0.35">
      <c r="C290" s="80" t="s">
        <v>1630</v>
      </c>
      <c r="D290" s="62">
        <v>193141974</v>
      </c>
      <c r="E290" s="62">
        <v>93050117</v>
      </c>
      <c r="F290">
        <f t="shared" si="4"/>
        <v>2385224644</v>
      </c>
    </row>
    <row r="291" spans="3:6" x14ac:dyDescent="0.35">
      <c r="C291" s="80" t="s">
        <v>1128</v>
      </c>
      <c r="D291" s="62">
        <v>191844722</v>
      </c>
      <c r="E291" s="62">
        <v>198680470</v>
      </c>
      <c r="F291">
        <f t="shared" si="4"/>
        <v>2385224644</v>
      </c>
    </row>
    <row r="292" spans="3:6" x14ac:dyDescent="0.35">
      <c r="C292" s="80" t="s">
        <v>1106</v>
      </c>
      <c r="D292" s="62">
        <v>191300000</v>
      </c>
      <c r="E292" s="62">
        <v>77233467</v>
      </c>
      <c r="F292">
        <f t="shared" si="4"/>
        <v>2385224644</v>
      </c>
    </row>
    <row r="293" spans="3:6" x14ac:dyDescent="0.35">
      <c r="C293" s="80" t="s">
        <v>1033</v>
      </c>
      <c r="D293" s="62">
        <v>191005491</v>
      </c>
      <c r="E293" s="62">
        <v>164606800</v>
      </c>
      <c r="F293">
        <f t="shared" si="4"/>
        <v>2385224644</v>
      </c>
    </row>
    <row r="294" spans="3:6" x14ac:dyDescent="0.35">
      <c r="C294" s="80" t="s">
        <v>1420</v>
      </c>
      <c r="D294" s="62">
        <v>190923432</v>
      </c>
      <c r="E294" s="62">
        <v>277504018</v>
      </c>
      <c r="F294">
        <f t="shared" si="4"/>
        <v>2385224644</v>
      </c>
    </row>
    <row r="295" spans="3:6" x14ac:dyDescent="0.35">
      <c r="C295" s="80" t="s">
        <v>1631</v>
      </c>
      <c r="D295" s="62">
        <v>190222267</v>
      </c>
      <c r="E295" s="62">
        <v>71423726</v>
      </c>
      <c r="F295">
        <f t="shared" si="4"/>
        <v>2385224644</v>
      </c>
    </row>
    <row r="296" spans="3:6" x14ac:dyDescent="0.35">
      <c r="C296" s="80" t="s">
        <v>1110</v>
      </c>
      <c r="D296" s="62">
        <v>189164785</v>
      </c>
      <c r="E296" s="62">
        <v>186825355</v>
      </c>
      <c r="F296">
        <f t="shared" si="4"/>
        <v>2385224644</v>
      </c>
    </row>
    <row r="297" spans="3:6" x14ac:dyDescent="0.35">
      <c r="C297" s="80" t="s">
        <v>1439</v>
      </c>
      <c r="D297" s="62">
        <v>188441583</v>
      </c>
      <c r="E297" s="62">
        <v>277322503</v>
      </c>
      <c r="F297">
        <f t="shared" si="4"/>
        <v>2385224644</v>
      </c>
    </row>
    <row r="298" spans="3:6" x14ac:dyDescent="0.35">
      <c r="C298" s="80" t="s">
        <v>1159</v>
      </c>
      <c r="D298" s="62">
        <v>187941694</v>
      </c>
      <c r="E298" s="62">
        <v>71759298</v>
      </c>
      <c r="F298">
        <f t="shared" si="4"/>
        <v>2385224644</v>
      </c>
    </row>
    <row r="299" spans="3:6" x14ac:dyDescent="0.35">
      <c r="C299" s="80" t="s">
        <v>1441</v>
      </c>
      <c r="D299" s="62">
        <v>187000000</v>
      </c>
      <c r="E299" s="62">
        <v>198000317</v>
      </c>
      <c r="F299">
        <f t="shared" si="4"/>
        <v>2385224644</v>
      </c>
    </row>
    <row r="300" spans="3:6" x14ac:dyDescent="0.35">
      <c r="C300" s="80" t="s">
        <v>1050</v>
      </c>
      <c r="D300" s="62">
        <v>185867205</v>
      </c>
      <c r="E300" s="62">
        <v>267608796</v>
      </c>
      <c r="F300">
        <f t="shared" si="4"/>
        <v>2385224644</v>
      </c>
    </row>
    <row r="301" spans="3:6" x14ac:dyDescent="0.35">
      <c r="C301" s="80" t="s">
        <v>1324</v>
      </c>
      <c r="D301" s="62">
        <v>185008014</v>
      </c>
      <c r="E301" s="62">
        <v>165091986</v>
      </c>
      <c r="F301">
        <f t="shared" si="4"/>
        <v>2385224644</v>
      </c>
    </row>
    <row r="302" spans="3:6" x14ac:dyDescent="0.35">
      <c r="C302" s="80" t="s">
        <v>1563</v>
      </c>
      <c r="D302" s="62">
        <v>184733885</v>
      </c>
      <c r="E302" s="62">
        <v>181166115</v>
      </c>
      <c r="F302">
        <f t="shared" si="4"/>
        <v>2385224644</v>
      </c>
    </row>
    <row r="303" spans="3:6" x14ac:dyDescent="0.35">
      <c r="C303" s="80" t="s">
        <v>1287</v>
      </c>
      <c r="D303" s="62">
        <v>183833464</v>
      </c>
      <c r="E303" s="62">
        <v>90559416</v>
      </c>
      <c r="F303">
        <f t="shared" si="4"/>
        <v>2385224644</v>
      </c>
    </row>
    <row r="304" spans="3:6" x14ac:dyDescent="0.35">
      <c r="C304" s="80" t="s">
        <v>1425</v>
      </c>
      <c r="D304" s="62">
        <v>183615348</v>
      </c>
      <c r="E304" s="62">
        <v>91547205</v>
      </c>
      <c r="F304">
        <f t="shared" si="4"/>
        <v>2385224644</v>
      </c>
    </row>
    <row r="305" spans="3:6" x14ac:dyDescent="0.35">
      <c r="C305" s="80" t="s">
        <v>1629</v>
      </c>
      <c r="D305" s="62">
        <v>183615348</v>
      </c>
      <c r="E305" s="62">
        <v>176483808</v>
      </c>
      <c r="F305">
        <f t="shared" si="4"/>
        <v>2385224644</v>
      </c>
    </row>
    <row r="306" spans="3:6" x14ac:dyDescent="0.35">
      <c r="C306" s="80" t="s">
        <v>1241</v>
      </c>
      <c r="D306" s="62">
        <v>183317852</v>
      </c>
      <c r="E306" s="62">
        <v>76223578</v>
      </c>
      <c r="F306">
        <f t="shared" si="4"/>
        <v>2385224644</v>
      </c>
    </row>
    <row r="307" spans="3:6" x14ac:dyDescent="0.35">
      <c r="C307" s="80" t="s">
        <v>1440</v>
      </c>
      <c r="D307" s="62">
        <v>182879746</v>
      </c>
      <c r="E307" s="62">
        <v>120618403</v>
      </c>
      <c r="F307">
        <f t="shared" si="4"/>
        <v>2385224644</v>
      </c>
    </row>
    <row r="308" spans="3:6" x14ac:dyDescent="0.35">
      <c r="C308" s="80" t="s">
        <v>1447</v>
      </c>
      <c r="D308" s="62">
        <v>181971806</v>
      </c>
      <c r="E308" s="62">
        <v>100237375</v>
      </c>
      <c r="F308">
        <f t="shared" si="4"/>
        <v>2385224644</v>
      </c>
    </row>
    <row r="309" spans="3:6" x14ac:dyDescent="0.35">
      <c r="C309" s="80" t="s">
        <v>1626</v>
      </c>
      <c r="D309" s="62">
        <v>180600000</v>
      </c>
      <c r="E309" s="62">
        <v>137400141</v>
      </c>
      <c r="F309">
        <f t="shared" si="4"/>
        <v>2385224644</v>
      </c>
    </row>
    <row r="310" spans="3:6" x14ac:dyDescent="0.35">
      <c r="C310" s="80" t="s">
        <v>1429</v>
      </c>
      <c r="D310" s="62">
        <v>180000000</v>
      </c>
      <c r="E310" s="62">
        <v>72091016</v>
      </c>
      <c r="F310">
        <f t="shared" si="4"/>
        <v>2385224644</v>
      </c>
    </row>
    <row r="311" spans="3:6" x14ac:dyDescent="0.35">
      <c r="C311" s="80" t="s">
        <v>1321</v>
      </c>
      <c r="D311" s="62">
        <v>179182206</v>
      </c>
      <c r="E311" s="62">
        <v>100241322</v>
      </c>
      <c r="F311">
        <f t="shared" si="4"/>
        <v>2385224644</v>
      </c>
    </row>
    <row r="312" spans="3:6" x14ac:dyDescent="0.35">
      <c r="C312" s="80" t="s">
        <v>1250</v>
      </c>
      <c r="D312" s="62">
        <v>179049559</v>
      </c>
      <c r="E312" s="62">
        <v>214935276</v>
      </c>
      <c r="F312">
        <f t="shared" si="4"/>
        <v>2385224644</v>
      </c>
    </row>
    <row r="313" spans="3:6" x14ac:dyDescent="0.35">
      <c r="C313" s="80" t="s">
        <v>1510</v>
      </c>
      <c r="D313" s="62">
        <v>179000000</v>
      </c>
      <c r="E313" s="62">
        <v>215112867</v>
      </c>
      <c r="F313">
        <f t="shared" si="4"/>
        <v>2385224644</v>
      </c>
    </row>
    <row r="314" spans="3:6" x14ac:dyDescent="0.35">
      <c r="C314" s="80" t="s">
        <v>1459</v>
      </c>
      <c r="D314" s="62">
        <v>178591415</v>
      </c>
      <c r="E314" s="62">
        <v>201151353</v>
      </c>
      <c r="F314">
        <f t="shared" si="4"/>
        <v>2385224644</v>
      </c>
    </row>
    <row r="315" spans="3:6" x14ac:dyDescent="0.35">
      <c r="C315" s="80" t="s">
        <v>1564</v>
      </c>
      <c r="D315" s="62">
        <v>177853834</v>
      </c>
      <c r="E315" s="62">
        <v>137855863</v>
      </c>
      <c r="F315">
        <f t="shared" si="4"/>
        <v>2385224644</v>
      </c>
    </row>
    <row r="316" spans="3:6" x14ac:dyDescent="0.35">
      <c r="C316" s="80" t="s">
        <v>1349</v>
      </c>
      <c r="D316" s="62">
        <v>176000000</v>
      </c>
      <c r="E316" s="62">
        <v>88214660</v>
      </c>
      <c r="F316">
        <f t="shared" si="4"/>
        <v>2385224644</v>
      </c>
    </row>
    <row r="317" spans="3:6" x14ac:dyDescent="0.35">
      <c r="C317" s="80" t="s">
        <v>1494</v>
      </c>
      <c r="D317" s="62">
        <v>175183320</v>
      </c>
      <c r="E317" s="62">
        <v>110722495</v>
      </c>
      <c r="F317">
        <f t="shared" si="4"/>
        <v>2385224644</v>
      </c>
    </row>
    <row r="318" spans="3:6" x14ac:dyDescent="0.35">
      <c r="C318" s="80" t="s">
        <v>1636</v>
      </c>
      <c r="D318" s="62">
        <v>175183320</v>
      </c>
      <c r="E318" s="62">
        <v>90815558</v>
      </c>
      <c r="F318">
        <f t="shared" si="4"/>
        <v>2385224644</v>
      </c>
    </row>
    <row r="319" spans="3:6" x14ac:dyDescent="0.35">
      <c r="C319" s="80" t="s">
        <v>1039</v>
      </c>
      <c r="D319" s="62">
        <v>174657158</v>
      </c>
      <c r="E319" s="62">
        <v>135386665</v>
      </c>
      <c r="F319">
        <f t="shared" si="4"/>
        <v>2385224644</v>
      </c>
    </row>
    <row r="320" spans="3:6" x14ac:dyDescent="0.35">
      <c r="C320" s="80" t="s">
        <v>1216</v>
      </c>
      <c r="D320" s="62">
        <v>174457952</v>
      </c>
      <c r="E320" s="62">
        <v>75030163</v>
      </c>
      <c r="F320">
        <f t="shared" si="4"/>
        <v>2385224644</v>
      </c>
    </row>
    <row r="321" spans="3:6" x14ac:dyDescent="0.35">
      <c r="C321" s="80" t="s">
        <v>1089</v>
      </c>
      <c r="D321" s="62">
        <v>173965065</v>
      </c>
      <c r="E321" s="62">
        <v>200120000</v>
      </c>
      <c r="F321">
        <f t="shared" si="4"/>
        <v>2385224644</v>
      </c>
    </row>
    <row r="322" spans="3:6" x14ac:dyDescent="0.35">
      <c r="C322" s="80" t="s">
        <v>1234</v>
      </c>
      <c r="D322" s="62">
        <v>173381071</v>
      </c>
      <c r="E322" s="62">
        <v>71752669</v>
      </c>
      <c r="F322">
        <f t="shared" si="4"/>
        <v>2385224644</v>
      </c>
    </row>
    <row r="323" spans="3:6" x14ac:dyDescent="0.35">
      <c r="C323" s="80" t="s">
        <v>1376</v>
      </c>
      <c r="D323" s="62">
        <v>172207319</v>
      </c>
      <c r="E323" s="62">
        <v>136448821</v>
      </c>
      <c r="F323">
        <f t="shared" si="4"/>
        <v>2385224644</v>
      </c>
    </row>
    <row r="324" spans="3:6" x14ac:dyDescent="0.35">
      <c r="C324" s="80" t="s">
        <v>1416</v>
      </c>
      <c r="D324" s="62">
        <v>171700000</v>
      </c>
      <c r="E324" s="62">
        <v>166000000</v>
      </c>
      <c r="F324">
        <f t="shared" si="4"/>
        <v>2385224644</v>
      </c>
    </row>
    <row r="325" spans="3:6" x14ac:dyDescent="0.35">
      <c r="C325" s="80" t="s">
        <v>1593</v>
      </c>
      <c r="D325" s="62">
        <v>171448848</v>
      </c>
      <c r="E325" s="62">
        <v>71502303</v>
      </c>
      <c r="F325">
        <f t="shared" si="4"/>
        <v>2385224644</v>
      </c>
    </row>
    <row r="326" spans="3:6" x14ac:dyDescent="0.35">
      <c r="C326" s="80" t="s">
        <v>1640</v>
      </c>
      <c r="D326" s="62">
        <v>171228322</v>
      </c>
      <c r="E326" s="62">
        <v>151844092</v>
      </c>
      <c r="F326">
        <f t="shared" si="4"/>
        <v>2385224644</v>
      </c>
    </row>
    <row r="327" spans="3:6" x14ac:dyDescent="0.35">
      <c r="C327" s="80" t="s">
        <v>1412</v>
      </c>
      <c r="D327" s="62">
        <v>170950789</v>
      </c>
      <c r="E327" s="62">
        <v>84049211</v>
      </c>
      <c r="F327">
        <f t="shared" si="4"/>
        <v>2385224644</v>
      </c>
    </row>
    <row r="328" spans="3:6" x14ac:dyDescent="0.35">
      <c r="C328" s="80" t="s">
        <v>1037</v>
      </c>
      <c r="D328" s="62">
        <v>170138834</v>
      </c>
      <c r="E328" s="62">
        <v>75764085</v>
      </c>
      <c r="F328">
        <f t="shared" si="4"/>
        <v>2385224644</v>
      </c>
    </row>
    <row r="329" spans="3:6" x14ac:dyDescent="0.35">
      <c r="C329" s="80" t="s">
        <v>1295</v>
      </c>
      <c r="D329" s="62">
        <v>167152050</v>
      </c>
      <c r="E329" s="62">
        <v>113203870</v>
      </c>
      <c r="F329">
        <f t="shared" si="4"/>
        <v>2385224644</v>
      </c>
    </row>
    <row r="330" spans="3:6" x14ac:dyDescent="0.35">
      <c r="C330" s="80" t="s">
        <v>1047</v>
      </c>
      <c r="D330" s="62">
        <v>166596479</v>
      </c>
      <c r="E330" s="62">
        <v>104400899</v>
      </c>
      <c r="F330">
        <f t="shared" si="4"/>
        <v>2385224644</v>
      </c>
    </row>
    <row r="331" spans="3:6" x14ac:dyDescent="0.35">
      <c r="C331" s="80" t="s">
        <v>1052</v>
      </c>
      <c r="D331" s="62">
        <v>166400000</v>
      </c>
      <c r="E331" s="62">
        <v>84273813</v>
      </c>
      <c r="F331">
        <f t="shared" si="4"/>
        <v>2385224644</v>
      </c>
    </row>
    <row r="332" spans="3:6" x14ac:dyDescent="0.35">
      <c r="C332" s="80" t="s">
        <v>1486</v>
      </c>
      <c r="D332" s="62">
        <v>165203000</v>
      </c>
      <c r="E332" s="62">
        <v>72779000</v>
      </c>
      <c r="F332">
        <f t="shared" si="4"/>
        <v>2385224644</v>
      </c>
    </row>
    <row r="333" spans="3:6" x14ac:dyDescent="0.35">
      <c r="C333" s="80" t="s">
        <v>1613</v>
      </c>
      <c r="D333" s="62">
        <v>165203000</v>
      </c>
      <c r="E333" s="62">
        <v>75781642</v>
      </c>
      <c r="F333">
        <f t="shared" si="4"/>
        <v>2385224644</v>
      </c>
    </row>
    <row r="334" spans="3:6" x14ac:dyDescent="0.35">
      <c r="C334" s="80" t="s">
        <v>1592</v>
      </c>
      <c r="D334" s="62">
        <v>165100000</v>
      </c>
      <c r="E334" s="62">
        <v>130179072</v>
      </c>
      <c r="F334">
        <f t="shared" si="4"/>
        <v>2385224644</v>
      </c>
    </row>
    <row r="335" spans="3:6" x14ac:dyDescent="0.35">
      <c r="C335" s="80" t="s">
        <v>1437</v>
      </c>
      <c r="D335" s="62">
        <v>163454307</v>
      </c>
      <c r="E335" s="62">
        <v>148453989</v>
      </c>
      <c r="F335">
        <f t="shared" si="4"/>
        <v>2385224644</v>
      </c>
    </row>
    <row r="336" spans="3:6" x14ac:dyDescent="0.35">
      <c r="C336" s="80" t="s">
        <v>1475</v>
      </c>
      <c r="D336" s="62">
        <v>163454307</v>
      </c>
      <c r="E336" s="62">
        <v>80500000</v>
      </c>
      <c r="F336">
        <f t="shared" si="4"/>
        <v>2385224644</v>
      </c>
    </row>
    <row r="337" spans="3:6" x14ac:dyDescent="0.35">
      <c r="C337" s="80" t="s">
        <v>1088</v>
      </c>
      <c r="D337" s="62">
        <v>162300000</v>
      </c>
      <c r="E337" s="62">
        <v>100109938</v>
      </c>
      <c r="F337">
        <f t="shared" si="4"/>
        <v>2385224644</v>
      </c>
    </row>
    <row r="338" spans="3:6" x14ac:dyDescent="0.35">
      <c r="C338" s="80" t="s">
        <v>1591</v>
      </c>
      <c r="D338" s="62">
        <v>162211974</v>
      </c>
      <c r="E338" s="62">
        <v>148438600</v>
      </c>
      <c r="F338">
        <f t="shared" si="4"/>
        <v>2385224644</v>
      </c>
    </row>
    <row r="339" spans="3:6" x14ac:dyDescent="0.35">
      <c r="C339" s="80" t="s">
        <v>1619</v>
      </c>
      <c r="D339" s="62">
        <v>162029504</v>
      </c>
      <c r="E339" s="62">
        <v>82301521</v>
      </c>
      <c r="F339">
        <f t="shared" si="4"/>
        <v>2385224644</v>
      </c>
    </row>
    <row r="340" spans="3:6" x14ac:dyDescent="0.35">
      <c r="C340" s="80" t="s">
        <v>1213</v>
      </c>
      <c r="D340" s="62">
        <v>162029504</v>
      </c>
      <c r="E340" s="62">
        <v>172036360</v>
      </c>
      <c r="F340">
        <f t="shared" si="4"/>
        <v>2385224644</v>
      </c>
    </row>
    <row r="341" spans="3:6" x14ac:dyDescent="0.35">
      <c r="C341" s="80" t="s">
        <v>1392</v>
      </c>
      <c r="D341" s="62">
        <v>160963300</v>
      </c>
      <c r="E341" s="62">
        <v>73326666</v>
      </c>
      <c r="F341">
        <f t="shared" si="4"/>
        <v>2385224644</v>
      </c>
    </row>
    <row r="342" spans="3:6" x14ac:dyDescent="0.35">
      <c r="C342" s="80" t="s">
        <v>1620</v>
      </c>
      <c r="D342" s="62">
        <v>160963300</v>
      </c>
      <c r="E342" s="62">
        <v>126631277</v>
      </c>
      <c r="F342">
        <f t="shared" si="4"/>
        <v>2385224644</v>
      </c>
    </row>
    <row r="343" spans="3:6" x14ac:dyDescent="0.35">
      <c r="C343" s="80" t="s">
        <v>1538</v>
      </c>
      <c r="D343" s="62">
        <v>160963300</v>
      </c>
      <c r="E343" s="62">
        <v>73000000</v>
      </c>
      <c r="F343">
        <f t="shared" si="4"/>
        <v>2385224644</v>
      </c>
    </row>
    <row r="344" spans="3:6" x14ac:dyDescent="0.35">
      <c r="C344" s="80" t="s">
        <v>1569</v>
      </c>
      <c r="D344" s="62">
        <v>160647699</v>
      </c>
      <c r="E344" s="62">
        <v>120794325</v>
      </c>
      <c r="F344">
        <f t="shared" si="4"/>
        <v>2385224644</v>
      </c>
    </row>
    <row r="345" spans="3:6" x14ac:dyDescent="0.35">
      <c r="C345" s="80" t="s">
        <v>1367</v>
      </c>
      <c r="D345" s="62">
        <v>160160000</v>
      </c>
      <c r="E345" s="62">
        <v>248972777</v>
      </c>
      <c r="F345">
        <f t="shared" si="4"/>
        <v>2385224644</v>
      </c>
    </row>
    <row r="346" spans="3:6" x14ac:dyDescent="0.35">
      <c r="C346" s="80" t="s">
        <v>1428</v>
      </c>
      <c r="D346" s="62">
        <v>158800000</v>
      </c>
      <c r="E346" s="62">
        <v>140015224</v>
      </c>
      <c r="F346">
        <f t="shared" si="4"/>
        <v>2385224644</v>
      </c>
    </row>
    <row r="347" spans="3:6" x14ac:dyDescent="0.35">
      <c r="C347" s="80" t="s">
        <v>1419</v>
      </c>
      <c r="D347" s="62">
        <v>157283311</v>
      </c>
      <c r="E347" s="62">
        <v>78616689</v>
      </c>
      <c r="F347">
        <f t="shared" si="4"/>
        <v>2385224644</v>
      </c>
    </row>
    <row r="348" spans="3:6" x14ac:dyDescent="0.35">
      <c r="C348" s="80" t="s">
        <v>1355</v>
      </c>
      <c r="D348" s="62">
        <v>157011187</v>
      </c>
      <c r="E348" s="62">
        <v>134837533</v>
      </c>
      <c r="F348">
        <f t="shared" si="4"/>
        <v>2385224644</v>
      </c>
    </row>
    <row r="349" spans="3:6" x14ac:dyDescent="0.35">
      <c r="C349" s="80" t="s">
        <v>1401</v>
      </c>
      <c r="D349" s="62">
        <v>156033371</v>
      </c>
      <c r="E349" s="62">
        <v>87666629</v>
      </c>
      <c r="F349">
        <f t="shared" si="4"/>
        <v>2385224644</v>
      </c>
    </row>
    <row r="350" spans="3:6" x14ac:dyDescent="0.35">
      <c r="C350" s="80" t="s">
        <v>1073</v>
      </c>
      <c r="D350" s="62">
        <v>155275759</v>
      </c>
      <c r="E350" s="62">
        <v>107518682</v>
      </c>
      <c r="F350">
        <f t="shared" si="4"/>
        <v>2385224644</v>
      </c>
    </row>
    <row r="351" spans="3:6" x14ac:dyDescent="0.35">
      <c r="C351" s="80" t="s">
        <v>1239</v>
      </c>
      <c r="D351" s="62">
        <v>154943968</v>
      </c>
      <c r="E351" s="62">
        <v>196905393</v>
      </c>
      <c r="F351">
        <f t="shared" ref="F351:F414" si="5">GETPIVOTDATA("Sum of International Box Office",$C$29,"Lead Actor","Adam Sandler")+GETPIVOTDATA("Sum of Domestic Box Office",$C$29,"Lead Actor","Adam Sandler")</f>
        <v>2385224644</v>
      </c>
    </row>
    <row r="352" spans="3:6" x14ac:dyDescent="0.35">
      <c r="C352" s="80" t="s">
        <v>1078</v>
      </c>
      <c r="D352" s="62">
        <v>153900000</v>
      </c>
      <c r="E352" s="62">
        <v>136801374</v>
      </c>
      <c r="F352">
        <f t="shared" si="5"/>
        <v>2385224644</v>
      </c>
    </row>
    <row r="353" spans="3:6" x14ac:dyDescent="0.35">
      <c r="C353" s="80" t="s">
        <v>1543</v>
      </c>
      <c r="D353" s="62">
        <v>153798948</v>
      </c>
      <c r="E353" s="62">
        <v>205343774</v>
      </c>
      <c r="F353">
        <f t="shared" si="5"/>
        <v>2385224644</v>
      </c>
    </row>
    <row r="354" spans="3:6" x14ac:dyDescent="0.35">
      <c r="C354" s="80" t="s">
        <v>1090</v>
      </c>
      <c r="D354" s="62">
        <v>153700000</v>
      </c>
      <c r="E354" s="62">
        <v>79366978</v>
      </c>
      <c r="F354">
        <f t="shared" si="5"/>
        <v>2385224644</v>
      </c>
    </row>
    <row r="355" spans="3:6" x14ac:dyDescent="0.35">
      <c r="C355" s="80" t="s">
        <v>1378</v>
      </c>
      <c r="D355" s="62">
        <v>153400000</v>
      </c>
      <c r="E355" s="62">
        <v>168134511</v>
      </c>
      <c r="F355">
        <f t="shared" si="5"/>
        <v>2385224644</v>
      </c>
    </row>
    <row r="356" spans="3:6" x14ac:dyDescent="0.35">
      <c r="C356" s="80" t="s">
        <v>1126</v>
      </c>
      <c r="D356" s="62">
        <v>153200000</v>
      </c>
      <c r="E356" s="62">
        <v>175083524</v>
      </c>
      <c r="F356">
        <f t="shared" si="5"/>
        <v>2385224644</v>
      </c>
    </row>
    <row r="357" spans="3:6" x14ac:dyDescent="0.35">
      <c r="C357" s="80" t="s">
        <v>1451</v>
      </c>
      <c r="D357" s="62">
        <v>153000000</v>
      </c>
      <c r="E357" s="62">
        <v>78651430</v>
      </c>
      <c r="F357">
        <f t="shared" si="5"/>
        <v>2385224644</v>
      </c>
    </row>
    <row r="358" spans="3:6" x14ac:dyDescent="0.35">
      <c r="C358" s="80" t="s">
        <v>1556</v>
      </c>
      <c r="D358" s="62">
        <v>152978119</v>
      </c>
      <c r="E358" s="62">
        <v>108580729</v>
      </c>
      <c r="F358">
        <f t="shared" si="5"/>
        <v>2385224644</v>
      </c>
    </row>
    <row r="359" spans="3:6" x14ac:dyDescent="0.35">
      <c r="C359" s="80" t="s">
        <v>1350</v>
      </c>
      <c r="D359" s="62">
        <v>152865896</v>
      </c>
      <c r="E359" s="62">
        <v>197316985</v>
      </c>
      <c r="F359">
        <f t="shared" si="5"/>
        <v>2385224644</v>
      </c>
    </row>
    <row r="360" spans="3:6" x14ac:dyDescent="0.35">
      <c r="C360" s="80" t="s">
        <v>1099</v>
      </c>
      <c r="D360" s="62">
        <v>152267519</v>
      </c>
      <c r="E360" s="62">
        <v>150201498</v>
      </c>
      <c r="F360">
        <f t="shared" si="5"/>
        <v>2385224644</v>
      </c>
    </row>
    <row r="361" spans="3:6" x14ac:dyDescent="0.35">
      <c r="C361" s="80" t="s">
        <v>1253</v>
      </c>
      <c r="D361" s="62">
        <v>151193167</v>
      </c>
      <c r="E361" s="62">
        <v>159027950</v>
      </c>
      <c r="F361">
        <f t="shared" si="5"/>
        <v>2385224644</v>
      </c>
    </row>
    <row r="362" spans="3:6" x14ac:dyDescent="0.35">
      <c r="C362" s="80" t="s">
        <v>1532</v>
      </c>
      <c r="D362" s="62">
        <v>150980157</v>
      </c>
      <c r="E362" s="62">
        <v>104268727</v>
      </c>
      <c r="F362">
        <f t="shared" si="5"/>
        <v>2385224644</v>
      </c>
    </row>
    <row r="363" spans="3:6" x14ac:dyDescent="0.35">
      <c r="C363" s="80" t="s">
        <v>1206</v>
      </c>
      <c r="D363" s="62">
        <v>150751686</v>
      </c>
      <c r="E363" s="62">
        <v>71562550</v>
      </c>
      <c r="F363">
        <f t="shared" si="5"/>
        <v>2385224644</v>
      </c>
    </row>
    <row r="364" spans="3:6" x14ac:dyDescent="0.35">
      <c r="C364" s="80" t="s">
        <v>1072</v>
      </c>
      <c r="D364" s="62">
        <v>150000000</v>
      </c>
      <c r="E364" s="62">
        <v>144156464</v>
      </c>
      <c r="F364">
        <f t="shared" si="5"/>
        <v>2385224644</v>
      </c>
    </row>
    <row r="365" spans="3:6" x14ac:dyDescent="0.35">
      <c r="C365" s="80" t="s">
        <v>1075</v>
      </c>
      <c r="D365" s="62">
        <v>148600000</v>
      </c>
      <c r="E365" s="62">
        <v>162994032</v>
      </c>
      <c r="F365">
        <f t="shared" si="5"/>
        <v>2385224644</v>
      </c>
    </row>
    <row r="366" spans="3:6" x14ac:dyDescent="0.35">
      <c r="C366" s="80" t="s">
        <v>1524</v>
      </c>
      <c r="D366" s="62">
        <v>146959062</v>
      </c>
      <c r="E366" s="62">
        <v>170708996</v>
      </c>
      <c r="F366">
        <f t="shared" si="5"/>
        <v>2385224644</v>
      </c>
    </row>
    <row r="367" spans="3:6" x14ac:dyDescent="0.35">
      <c r="C367" s="80" t="s">
        <v>1134</v>
      </c>
      <c r="D367" s="62">
        <v>146507617</v>
      </c>
      <c r="E367" s="62">
        <v>176006019</v>
      </c>
      <c r="F367">
        <f t="shared" si="5"/>
        <v>2385224644</v>
      </c>
    </row>
    <row r="368" spans="3:6" x14ac:dyDescent="0.35">
      <c r="C368" s="80" t="s">
        <v>1365</v>
      </c>
      <c r="D368" s="62">
        <v>145618733</v>
      </c>
      <c r="E368" s="62">
        <v>75500759</v>
      </c>
      <c r="F368">
        <f t="shared" si="5"/>
        <v>2385224644</v>
      </c>
    </row>
    <row r="369" spans="3:6" x14ac:dyDescent="0.35">
      <c r="C369" s="80" t="s">
        <v>1275</v>
      </c>
      <c r="D369" s="62">
        <v>145278059</v>
      </c>
      <c r="E369" s="62">
        <v>217326974</v>
      </c>
      <c r="F369">
        <f t="shared" si="5"/>
        <v>2385224644</v>
      </c>
    </row>
    <row r="370" spans="3:6" x14ac:dyDescent="0.35">
      <c r="C370" s="80" t="s">
        <v>1258</v>
      </c>
      <c r="D370" s="62">
        <v>145000000</v>
      </c>
      <c r="E370" s="62">
        <v>128769345</v>
      </c>
      <c r="F370">
        <f t="shared" si="5"/>
        <v>2385224644</v>
      </c>
    </row>
    <row r="371" spans="3:6" x14ac:dyDescent="0.35">
      <c r="C371" s="80" t="s">
        <v>1434</v>
      </c>
      <c r="D371" s="62">
        <v>144948447</v>
      </c>
      <c r="E371" s="62">
        <v>154529439</v>
      </c>
      <c r="F371">
        <f t="shared" si="5"/>
        <v>2385224644</v>
      </c>
    </row>
    <row r="372" spans="3:6" x14ac:dyDescent="0.35">
      <c r="C372" s="80" t="s">
        <v>1372</v>
      </c>
      <c r="D372" s="62">
        <v>144692000</v>
      </c>
      <c r="E372" s="62">
        <v>156704749</v>
      </c>
      <c r="F372">
        <f t="shared" si="5"/>
        <v>2385224644</v>
      </c>
    </row>
    <row r="373" spans="3:6" x14ac:dyDescent="0.35">
      <c r="C373" s="80" t="s">
        <v>1515</v>
      </c>
      <c r="D373" s="62">
        <v>143639884</v>
      </c>
      <c r="E373" s="62">
        <v>94326915</v>
      </c>
      <c r="F373">
        <f t="shared" si="5"/>
        <v>2385224644</v>
      </c>
    </row>
    <row r="374" spans="3:6" x14ac:dyDescent="0.35">
      <c r="C374" s="80" t="s">
        <v>1304</v>
      </c>
      <c r="D374" s="62">
        <v>143444114</v>
      </c>
      <c r="E374" s="62">
        <v>114197520</v>
      </c>
      <c r="F374">
        <f t="shared" si="5"/>
        <v>2385224644</v>
      </c>
    </row>
    <row r="375" spans="3:6" x14ac:dyDescent="0.35">
      <c r="C375" s="80" t="s">
        <v>1327</v>
      </c>
      <c r="D375" s="62">
        <v>142913876</v>
      </c>
      <c r="E375" s="62">
        <v>91038276</v>
      </c>
      <c r="F375">
        <f t="shared" si="5"/>
        <v>2385224644</v>
      </c>
    </row>
    <row r="376" spans="3:6" x14ac:dyDescent="0.35">
      <c r="C376" s="80" t="s">
        <v>1291</v>
      </c>
      <c r="D376" s="62">
        <v>142905321</v>
      </c>
      <c r="E376" s="62">
        <v>176864197</v>
      </c>
      <c r="F376">
        <f t="shared" si="5"/>
        <v>2385224644</v>
      </c>
    </row>
    <row r="377" spans="3:6" x14ac:dyDescent="0.35">
      <c r="C377" s="80" t="s">
        <v>1155</v>
      </c>
      <c r="D377" s="62">
        <v>142700000</v>
      </c>
      <c r="E377" s="62">
        <v>192139362</v>
      </c>
      <c r="F377">
        <f t="shared" si="5"/>
        <v>2385224644</v>
      </c>
    </row>
    <row r="378" spans="3:6" x14ac:dyDescent="0.35">
      <c r="C378" s="80" t="s">
        <v>1170</v>
      </c>
      <c r="D378" s="62">
        <v>142468684</v>
      </c>
      <c r="E378" s="62">
        <v>81168265</v>
      </c>
      <c r="F378">
        <f t="shared" si="5"/>
        <v>2385224644</v>
      </c>
    </row>
    <row r="379" spans="3:6" x14ac:dyDescent="0.35">
      <c r="C379" s="80" t="s">
        <v>1391</v>
      </c>
      <c r="D379" s="62">
        <v>142311944</v>
      </c>
      <c r="E379" s="62">
        <v>100489150</v>
      </c>
      <c r="F379">
        <f t="shared" si="5"/>
        <v>2385224644</v>
      </c>
    </row>
    <row r="380" spans="3:6" x14ac:dyDescent="0.35">
      <c r="C380" s="80" t="s">
        <v>1333</v>
      </c>
      <c r="D380" s="62">
        <v>142311944</v>
      </c>
      <c r="E380" s="62">
        <v>83453539</v>
      </c>
      <c r="F380">
        <f t="shared" si="5"/>
        <v>2385224644</v>
      </c>
    </row>
    <row r="381" spans="3:6" x14ac:dyDescent="0.35">
      <c r="C381" s="80" t="s">
        <v>1254</v>
      </c>
      <c r="D381" s="62">
        <v>142000000</v>
      </c>
      <c r="E381" s="62">
        <v>124685242</v>
      </c>
      <c r="F381">
        <f t="shared" si="5"/>
        <v>2385224644</v>
      </c>
    </row>
    <row r="382" spans="3:6" x14ac:dyDescent="0.35">
      <c r="C382" s="80" t="s">
        <v>1307</v>
      </c>
      <c r="D382" s="62">
        <v>141603653</v>
      </c>
      <c r="E382" s="62">
        <v>176993121</v>
      </c>
      <c r="F382">
        <f t="shared" si="5"/>
        <v>2385224644</v>
      </c>
    </row>
    <row r="383" spans="3:6" x14ac:dyDescent="0.35">
      <c r="C383" s="80" t="s">
        <v>1625</v>
      </c>
      <c r="D383" s="62">
        <v>141476567</v>
      </c>
      <c r="E383" s="62">
        <v>94125426</v>
      </c>
      <c r="F383">
        <f t="shared" si="5"/>
        <v>2385224644</v>
      </c>
    </row>
    <row r="384" spans="3:6" x14ac:dyDescent="0.35">
      <c r="C384" s="80" t="s">
        <v>1048</v>
      </c>
      <c r="D384" s="62">
        <v>141476567</v>
      </c>
      <c r="E384" s="62">
        <v>101704370</v>
      </c>
      <c r="F384">
        <f t="shared" si="5"/>
        <v>2385224644</v>
      </c>
    </row>
    <row r="385" spans="3:6" x14ac:dyDescent="0.35">
      <c r="C385" s="80" t="s">
        <v>1586</v>
      </c>
      <c r="D385" s="62">
        <v>141403180</v>
      </c>
      <c r="E385" s="62">
        <v>145096820</v>
      </c>
      <c r="F385">
        <f t="shared" si="5"/>
        <v>2385224644</v>
      </c>
    </row>
    <row r="386" spans="3:6" x14ac:dyDescent="0.35">
      <c r="C386" s="80" t="s">
        <v>1112</v>
      </c>
      <c r="D386" s="62">
        <v>141020000</v>
      </c>
      <c r="E386" s="62">
        <v>80000000</v>
      </c>
      <c r="F386">
        <f t="shared" si="5"/>
        <v>2385224644</v>
      </c>
    </row>
    <row r="387" spans="3:6" x14ac:dyDescent="0.35">
      <c r="C387" s="80" t="s">
        <v>1071</v>
      </c>
      <c r="D387" s="62">
        <v>140000000</v>
      </c>
      <c r="E387" s="62">
        <v>70300000</v>
      </c>
      <c r="F387">
        <f t="shared" si="5"/>
        <v>2385224644</v>
      </c>
    </row>
    <row r="388" spans="3:6" x14ac:dyDescent="0.35">
      <c r="C388" s="80" t="s">
        <v>1096</v>
      </c>
      <c r="D388" s="62">
        <v>140000000</v>
      </c>
      <c r="E388" s="62">
        <v>70423929</v>
      </c>
      <c r="F388">
        <f t="shared" si="5"/>
        <v>2385224644</v>
      </c>
    </row>
    <row r="389" spans="3:6" x14ac:dyDescent="0.35">
      <c r="C389" s="80" t="s">
        <v>1348</v>
      </c>
      <c r="D389" s="62">
        <v>137820811</v>
      </c>
      <c r="E389" s="62">
        <v>130164645</v>
      </c>
      <c r="F389">
        <f t="shared" si="5"/>
        <v>2385224644</v>
      </c>
    </row>
    <row r="390" spans="3:6" x14ac:dyDescent="0.35">
      <c r="C390" s="80" t="s">
        <v>1113</v>
      </c>
      <c r="D390" s="62">
        <v>137000000</v>
      </c>
      <c r="E390" s="62">
        <v>170687518</v>
      </c>
      <c r="F390">
        <f t="shared" si="5"/>
        <v>2385224644</v>
      </c>
    </row>
    <row r="391" spans="3:6" x14ac:dyDescent="0.35">
      <c r="C391" s="80" t="s">
        <v>1417</v>
      </c>
      <c r="D391" s="62">
        <v>136957148</v>
      </c>
      <c r="E391" s="62">
        <v>195351144</v>
      </c>
      <c r="F391">
        <f t="shared" si="5"/>
        <v>2385224644</v>
      </c>
    </row>
    <row r="392" spans="3:6" x14ac:dyDescent="0.35">
      <c r="C392" s="80" t="s">
        <v>1606</v>
      </c>
      <c r="D392" s="62">
        <v>136946253</v>
      </c>
      <c r="E392" s="62">
        <v>111721000</v>
      </c>
      <c r="F392">
        <f t="shared" si="5"/>
        <v>2385224644</v>
      </c>
    </row>
    <row r="393" spans="3:6" x14ac:dyDescent="0.35">
      <c r="C393" s="80" t="s">
        <v>1140</v>
      </c>
      <c r="D393" s="62">
        <v>134994502</v>
      </c>
      <c r="E393" s="62">
        <v>70405498</v>
      </c>
      <c r="F393">
        <f t="shared" si="5"/>
        <v>2385224644</v>
      </c>
    </row>
    <row r="394" spans="3:6" x14ac:dyDescent="0.35">
      <c r="C394" s="80" t="s">
        <v>1396</v>
      </c>
      <c r="D394" s="62">
        <v>133533589</v>
      </c>
      <c r="E394" s="62">
        <v>134821952</v>
      </c>
      <c r="F394">
        <f t="shared" si="5"/>
        <v>2385224644</v>
      </c>
    </row>
    <row r="395" spans="3:6" x14ac:dyDescent="0.35">
      <c r="C395" s="80" t="s">
        <v>1060</v>
      </c>
      <c r="D395" s="62">
        <v>133451826</v>
      </c>
      <c r="E395" s="62">
        <v>72000000</v>
      </c>
      <c r="F395">
        <f t="shared" si="5"/>
        <v>2385224644</v>
      </c>
    </row>
    <row r="396" spans="3:6" x14ac:dyDescent="0.35">
      <c r="C396" s="80" t="s">
        <v>1311</v>
      </c>
      <c r="D396" s="62">
        <v>133451826</v>
      </c>
      <c r="E396" s="62">
        <v>241438208</v>
      </c>
      <c r="F396">
        <f t="shared" si="5"/>
        <v>2385224644</v>
      </c>
    </row>
    <row r="397" spans="3:6" x14ac:dyDescent="0.35">
      <c r="C397" s="80" t="s">
        <v>1074</v>
      </c>
      <c r="D397" s="62">
        <v>133339902</v>
      </c>
      <c r="E397" s="62">
        <v>78142084</v>
      </c>
      <c r="F397">
        <f t="shared" si="5"/>
        <v>2385224644</v>
      </c>
    </row>
    <row r="398" spans="3:6" x14ac:dyDescent="0.35">
      <c r="C398" s="80" t="s">
        <v>1345</v>
      </c>
      <c r="D398" s="62">
        <v>132937284</v>
      </c>
      <c r="E398" s="62">
        <v>128505958</v>
      </c>
      <c r="F398">
        <f t="shared" si="5"/>
        <v>2385224644</v>
      </c>
    </row>
    <row r="399" spans="3:6" x14ac:dyDescent="0.35">
      <c r="C399" s="80" t="s">
        <v>1120</v>
      </c>
      <c r="D399" s="62">
        <v>132922200</v>
      </c>
      <c r="E399" s="62">
        <v>101800948</v>
      </c>
      <c r="F399">
        <f t="shared" si="5"/>
        <v>2385224644</v>
      </c>
    </row>
    <row r="400" spans="3:6" x14ac:dyDescent="0.35">
      <c r="C400" s="80" t="s">
        <v>1092</v>
      </c>
      <c r="D400" s="62">
        <v>132726857</v>
      </c>
      <c r="E400" s="62">
        <v>75367693</v>
      </c>
      <c r="F400">
        <f t="shared" si="5"/>
        <v>2385224644</v>
      </c>
    </row>
    <row r="401" spans="3:6" x14ac:dyDescent="0.35">
      <c r="C401" s="80" t="s">
        <v>1198</v>
      </c>
      <c r="D401" s="62">
        <v>132500000</v>
      </c>
      <c r="E401" s="62">
        <v>128200012</v>
      </c>
      <c r="F401">
        <f t="shared" si="5"/>
        <v>2385224644</v>
      </c>
    </row>
    <row r="402" spans="3:6" x14ac:dyDescent="0.35">
      <c r="C402" s="80" t="s">
        <v>1240</v>
      </c>
      <c r="D402" s="62">
        <v>131524199</v>
      </c>
      <c r="E402" s="62">
        <v>100422786</v>
      </c>
      <c r="F402">
        <f t="shared" si="5"/>
        <v>2385224644</v>
      </c>
    </row>
    <row r="403" spans="3:6" x14ac:dyDescent="0.35">
      <c r="C403" s="80" t="s">
        <v>1612</v>
      </c>
      <c r="D403" s="62">
        <v>130375461</v>
      </c>
      <c r="E403" s="62">
        <v>98780042</v>
      </c>
      <c r="F403">
        <f t="shared" si="5"/>
        <v>2385224644</v>
      </c>
    </row>
    <row r="404" spans="3:6" x14ac:dyDescent="0.35">
      <c r="C404" s="80" t="s">
        <v>1433</v>
      </c>
      <c r="D404" s="62">
        <v>129911547</v>
      </c>
      <c r="E404" s="62">
        <v>83552429</v>
      </c>
      <c r="F404">
        <f t="shared" si="5"/>
        <v>2385224644</v>
      </c>
    </row>
    <row r="405" spans="3:6" x14ac:dyDescent="0.35">
      <c r="C405" s="80" t="s">
        <v>1567</v>
      </c>
      <c r="D405" s="62">
        <v>129500000</v>
      </c>
      <c r="E405" s="62">
        <v>90282580</v>
      </c>
      <c r="F405">
        <f t="shared" si="5"/>
        <v>2385224644</v>
      </c>
    </row>
    <row r="406" spans="3:6" x14ac:dyDescent="0.35">
      <c r="C406" s="80" t="s">
        <v>1446</v>
      </c>
      <c r="D406" s="62">
        <v>129110799</v>
      </c>
      <c r="E406" s="62">
        <v>205032115</v>
      </c>
      <c r="F406">
        <f t="shared" si="5"/>
        <v>2385224644</v>
      </c>
    </row>
    <row r="407" spans="3:6" x14ac:dyDescent="0.35">
      <c r="C407" s="80" t="s">
        <v>1107</v>
      </c>
      <c r="D407" s="62">
        <v>128923854</v>
      </c>
      <c r="E407" s="62">
        <v>112273211</v>
      </c>
      <c r="F407">
        <f t="shared" si="5"/>
        <v>2385224644</v>
      </c>
    </row>
    <row r="408" spans="3:6" x14ac:dyDescent="0.35">
      <c r="C408" s="80" t="s">
        <v>1644</v>
      </c>
      <c r="D408" s="62">
        <v>127950427</v>
      </c>
      <c r="E408" s="62">
        <v>257730019</v>
      </c>
      <c r="F408">
        <f t="shared" si="5"/>
        <v>2385224644</v>
      </c>
    </row>
    <row r="409" spans="3:6" x14ac:dyDescent="0.35">
      <c r="C409" s="80" t="s">
        <v>1084</v>
      </c>
      <c r="D409" s="62">
        <v>126385672</v>
      </c>
      <c r="E409" s="62">
        <v>100814328</v>
      </c>
      <c r="F409">
        <f t="shared" si="5"/>
        <v>2385224644</v>
      </c>
    </row>
    <row r="410" spans="3:6" x14ac:dyDescent="0.35">
      <c r="C410" s="80" t="s">
        <v>1270</v>
      </c>
      <c r="D410" s="62">
        <v>125000000</v>
      </c>
      <c r="E410" s="62">
        <v>71346004</v>
      </c>
      <c r="F410">
        <f t="shared" si="5"/>
        <v>2385224644</v>
      </c>
    </row>
    <row r="411" spans="3:6" x14ac:dyDescent="0.35">
      <c r="C411" s="80" t="s">
        <v>1427</v>
      </c>
      <c r="D411" s="62">
        <v>124685916</v>
      </c>
      <c r="E411" s="62">
        <v>89706988</v>
      </c>
      <c r="F411">
        <f t="shared" si="5"/>
        <v>2385224644</v>
      </c>
    </row>
    <row r="412" spans="3:6" x14ac:dyDescent="0.35">
      <c r="C412" s="80" t="s">
        <v>1523</v>
      </c>
      <c r="D412" s="62">
        <v>123992604</v>
      </c>
      <c r="E412" s="62">
        <v>87707396</v>
      </c>
      <c r="F412">
        <f t="shared" si="5"/>
        <v>2385224644</v>
      </c>
    </row>
    <row r="413" spans="3:6" x14ac:dyDescent="0.35">
      <c r="C413" s="80" t="s">
        <v>1410</v>
      </c>
      <c r="D413" s="62">
        <v>123000000</v>
      </c>
      <c r="E413" s="62">
        <v>153294164</v>
      </c>
      <c r="F413">
        <f t="shared" si="5"/>
        <v>2385224644</v>
      </c>
    </row>
    <row r="414" spans="3:6" x14ac:dyDescent="0.35">
      <c r="C414" s="80" t="s">
        <v>1035</v>
      </c>
      <c r="D414" s="62">
        <v>123000000</v>
      </c>
      <c r="E414" s="62">
        <v>152932902</v>
      </c>
      <c r="F414">
        <f t="shared" si="5"/>
        <v>2385224644</v>
      </c>
    </row>
    <row r="415" spans="3:6" x14ac:dyDescent="0.35">
      <c r="C415" s="80" t="s">
        <v>1641</v>
      </c>
      <c r="D415" s="62">
        <v>122700000</v>
      </c>
      <c r="E415" s="62">
        <v>80930630</v>
      </c>
      <c r="F415">
        <f t="shared" ref="F415:F478" si="6">GETPIVOTDATA("Sum of International Box Office",$C$29,"Lead Actor","Adam Sandler")+GETPIVOTDATA("Sum of Domestic Box Office",$C$29,"Lead Actor","Adam Sandler")</f>
        <v>2385224644</v>
      </c>
    </row>
    <row r="416" spans="3:6" x14ac:dyDescent="0.35">
      <c r="C416" s="80" t="s">
        <v>1344</v>
      </c>
      <c r="D416" s="62">
        <v>122490147</v>
      </c>
      <c r="E416" s="62">
        <v>117323878</v>
      </c>
      <c r="F416">
        <f t="shared" si="6"/>
        <v>2385224644</v>
      </c>
    </row>
    <row r="417" spans="3:6" x14ac:dyDescent="0.35">
      <c r="C417" s="80" t="s">
        <v>1070</v>
      </c>
      <c r="D417" s="62">
        <v>121000000</v>
      </c>
      <c r="E417" s="62">
        <v>106793915</v>
      </c>
      <c r="F417">
        <f t="shared" si="6"/>
        <v>2385224644</v>
      </c>
    </row>
    <row r="418" spans="3:6" x14ac:dyDescent="0.35">
      <c r="C418" s="80" t="s">
        <v>1552</v>
      </c>
      <c r="D418" s="62">
        <v>120507734</v>
      </c>
      <c r="E418" s="62">
        <v>150086800</v>
      </c>
      <c r="F418">
        <f t="shared" si="6"/>
        <v>2385224644</v>
      </c>
    </row>
    <row r="419" spans="3:6" x14ac:dyDescent="0.35">
      <c r="C419" s="80" t="s">
        <v>1384</v>
      </c>
      <c r="D419" s="62">
        <v>120498675</v>
      </c>
      <c r="E419" s="62">
        <v>80270227</v>
      </c>
      <c r="F419">
        <f t="shared" si="6"/>
        <v>2385224644</v>
      </c>
    </row>
    <row r="420" spans="3:6" x14ac:dyDescent="0.35">
      <c r="C420" s="80" t="s">
        <v>1274</v>
      </c>
      <c r="D420" s="62">
        <v>120460270</v>
      </c>
      <c r="E420" s="62">
        <v>219120484</v>
      </c>
      <c r="F420">
        <f t="shared" si="6"/>
        <v>2385224644</v>
      </c>
    </row>
    <row r="421" spans="3:6" x14ac:dyDescent="0.35">
      <c r="C421" s="80" t="s">
        <v>1554</v>
      </c>
      <c r="D421" s="62">
        <v>120180229</v>
      </c>
      <c r="E421" s="62">
        <v>157019771</v>
      </c>
      <c r="F421">
        <f t="shared" si="6"/>
        <v>2385224644</v>
      </c>
    </row>
    <row r="422" spans="3:6" x14ac:dyDescent="0.35">
      <c r="C422" s="80" t="s">
        <v>1318</v>
      </c>
      <c r="D422" s="62">
        <v>120047408</v>
      </c>
      <c r="E422" s="62">
        <v>153620822</v>
      </c>
      <c r="F422">
        <f t="shared" si="6"/>
        <v>2385224644</v>
      </c>
    </row>
    <row r="423" spans="3:6" x14ac:dyDescent="0.35">
      <c r="C423" s="80" t="s">
        <v>1517</v>
      </c>
      <c r="D423" s="62">
        <v>120000000</v>
      </c>
      <c r="E423" s="62">
        <v>78745923</v>
      </c>
      <c r="F423">
        <f t="shared" si="6"/>
        <v>2385224644</v>
      </c>
    </row>
    <row r="424" spans="3:6" x14ac:dyDescent="0.35">
      <c r="C424" s="80" t="s">
        <v>1228</v>
      </c>
      <c r="D424" s="62">
        <v>120000000</v>
      </c>
      <c r="E424" s="62">
        <v>91386097</v>
      </c>
      <c r="F424">
        <f t="shared" si="6"/>
        <v>2385224644</v>
      </c>
    </row>
    <row r="425" spans="3:6" x14ac:dyDescent="0.35">
      <c r="C425" s="80" t="s">
        <v>1098</v>
      </c>
      <c r="D425" s="62">
        <v>120000000</v>
      </c>
      <c r="E425" s="62">
        <v>98800000</v>
      </c>
      <c r="F425">
        <f t="shared" si="6"/>
        <v>2385224644</v>
      </c>
    </row>
    <row r="426" spans="3:6" x14ac:dyDescent="0.35">
      <c r="C426" s="80" t="s">
        <v>1383</v>
      </c>
      <c r="D426" s="62">
        <v>119600000</v>
      </c>
      <c r="E426" s="62">
        <v>75155000</v>
      </c>
      <c r="F426">
        <f t="shared" si="6"/>
        <v>2385224644</v>
      </c>
    </row>
    <row r="427" spans="3:6" x14ac:dyDescent="0.35">
      <c r="C427" s="80" t="s">
        <v>1231</v>
      </c>
      <c r="D427" s="62">
        <v>119224626</v>
      </c>
      <c r="E427" s="62">
        <v>127140750</v>
      </c>
      <c r="F427">
        <f t="shared" si="6"/>
        <v>2385224644</v>
      </c>
    </row>
    <row r="428" spans="3:6" x14ac:dyDescent="0.35">
      <c r="C428" s="80" t="s">
        <v>1309</v>
      </c>
      <c r="D428" s="62">
        <v>117990660</v>
      </c>
      <c r="E428" s="62">
        <v>73209340</v>
      </c>
      <c r="F428">
        <f t="shared" si="6"/>
        <v>2385224644</v>
      </c>
    </row>
    <row r="429" spans="3:6" x14ac:dyDescent="0.35">
      <c r="C429" s="80" t="s">
        <v>1246</v>
      </c>
      <c r="D429" s="62">
        <v>117500000</v>
      </c>
      <c r="E429" s="62">
        <v>100170152</v>
      </c>
      <c r="F429">
        <f t="shared" si="6"/>
        <v>2385224644</v>
      </c>
    </row>
    <row r="430" spans="3:6" x14ac:dyDescent="0.35">
      <c r="C430" s="80" t="s">
        <v>1624</v>
      </c>
      <c r="D430" s="62">
        <v>117200000</v>
      </c>
      <c r="E430" s="62">
        <v>101217900</v>
      </c>
      <c r="F430">
        <f t="shared" si="6"/>
        <v>2385224644</v>
      </c>
    </row>
    <row r="431" spans="3:6" x14ac:dyDescent="0.35">
      <c r="C431" s="80" t="s">
        <v>1062</v>
      </c>
      <c r="D431" s="62">
        <v>117200000</v>
      </c>
      <c r="E431" s="62">
        <v>74787599</v>
      </c>
      <c r="F431">
        <f t="shared" si="6"/>
        <v>2385224644</v>
      </c>
    </row>
    <row r="432" spans="3:6" x14ac:dyDescent="0.35">
      <c r="C432" s="80" t="s">
        <v>1338</v>
      </c>
      <c r="D432" s="62">
        <v>116383693</v>
      </c>
      <c r="E432" s="62">
        <v>88915214</v>
      </c>
      <c r="F432">
        <f t="shared" si="6"/>
        <v>2385224644</v>
      </c>
    </row>
    <row r="433" spans="3:6" x14ac:dyDescent="0.35">
      <c r="C433" s="80" t="s">
        <v>1183</v>
      </c>
      <c r="D433" s="62">
        <v>115833047</v>
      </c>
      <c r="E433" s="62">
        <v>165135847</v>
      </c>
      <c r="F433">
        <f t="shared" si="6"/>
        <v>2385224644</v>
      </c>
    </row>
    <row r="434" spans="3:6" x14ac:dyDescent="0.35">
      <c r="C434" s="80" t="s">
        <v>1299</v>
      </c>
      <c r="D434" s="62">
        <v>115359105</v>
      </c>
      <c r="E434" s="62">
        <v>167348896</v>
      </c>
      <c r="F434">
        <f t="shared" si="6"/>
        <v>2385224644</v>
      </c>
    </row>
    <row r="435" spans="3:6" x14ac:dyDescent="0.35">
      <c r="C435" s="80" t="s">
        <v>1598</v>
      </c>
      <c r="D435" s="62">
        <v>114600000</v>
      </c>
      <c r="E435" s="62">
        <v>116601172</v>
      </c>
      <c r="F435">
        <f t="shared" si="6"/>
        <v>2385224644</v>
      </c>
    </row>
    <row r="436" spans="3:6" x14ac:dyDescent="0.35">
      <c r="C436" s="80" t="s">
        <v>1056</v>
      </c>
      <c r="D436" s="62">
        <v>113500000</v>
      </c>
      <c r="E436" s="62">
        <v>92955420</v>
      </c>
      <c r="F436">
        <f t="shared" si="6"/>
        <v>2385224644</v>
      </c>
    </row>
    <row r="437" spans="3:6" x14ac:dyDescent="0.35">
      <c r="C437" s="80" t="s">
        <v>1315</v>
      </c>
      <c r="D437" s="62">
        <v>113356101</v>
      </c>
      <c r="E437" s="62">
        <v>219232711</v>
      </c>
      <c r="F437">
        <f t="shared" si="6"/>
        <v>2385224644</v>
      </c>
    </row>
    <row r="438" spans="3:6" x14ac:dyDescent="0.35">
      <c r="C438" s="80" t="s">
        <v>1565</v>
      </c>
      <c r="D438" s="62">
        <v>113355283</v>
      </c>
      <c r="E438" s="62">
        <v>71499832</v>
      </c>
      <c r="F438">
        <f t="shared" si="6"/>
        <v>2385224644</v>
      </c>
    </row>
    <row r="439" spans="3:6" x14ac:dyDescent="0.35">
      <c r="C439" s="80" t="s">
        <v>1227</v>
      </c>
      <c r="D439" s="62">
        <v>112800000</v>
      </c>
      <c r="E439" s="62">
        <v>82195215</v>
      </c>
      <c r="F439">
        <f t="shared" si="6"/>
        <v>2385224644</v>
      </c>
    </row>
    <row r="440" spans="3:6" x14ac:dyDescent="0.35">
      <c r="C440" s="80" t="s">
        <v>1114</v>
      </c>
      <c r="D440" s="62">
        <v>112500000</v>
      </c>
      <c r="E440" s="62">
        <v>176087450</v>
      </c>
      <c r="F440">
        <f t="shared" si="6"/>
        <v>2385224644</v>
      </c>
    </row>
    <row r="441" spans="3:6" x14ac:dyDescent="0.35">
      <c r="C441" s="80" t="s">
        <v>1452</v>
      </c>
      <c r="D441" s="62">
        <v>111957402</v>
      </c>
      <c r="E441" s="62">
        <v>124870275</v>
      </c>
      <c r="F441">
        <f t="shared" si="6"/>
        <v>2385224644</v>
      </c>
    </row>
    <row r="442" spans="3:6" x14ac:dyDescent="0.35">
      <c r="C442" s="80" t="s">
        <v>1332</v>
      </c>
      <c r="D442" s="62">
        <v>111946844</v>
      </c>
      <c r="E442" s="62">
        <v>73013910</v>
      </c>
      <c r="F442">
        <f t="shared" si="6"/>
        <v>2385224644</v>
      </c>
    </row>
    <row r="443" spans="3:6" x14ac:dyDescent="0.35">
      <c r="C443" s="80" t="s">
        <v>1461</v>
      </c>
      <c r="D443" s="62">
        <v>111879369</v>
      </c>
      <c r="E443" s="62">
        <v>112735375</v>
      </c>
      <c r="F443">
        <f t="shared" si="6"/>
        <v>2385224644</v>
      </c>
    </row>
    <row r="444" spans="3:6" x14ac:dyDescent="0.35">
      <c r="C444" s="80" t="s">
        <v>1296</v>
      </c>
      <c r="D444" s="62">
        <v>111500000</v>
      </c>
      <c r="E444" s="62">
        <v>75370763</v>
      </c>
      <c r="F444">
        <f t="shared" si="6"/>
        <v>2385224644</v>
      </c>
    </row>
    <row r="445" spans="3:6" x14ac:dyDescent="0.35">
      <c r="C445" s="80" t="s">
        <v>1594</v>
      </c>
      <c r="D445" s="62">
        <v>111366960</v>
      </c>
      <c r="E445" s="62">
        <v>110101975</v>
      </c>
      <c r="F445">
        <f t="shared" si="6"/>
        <v>2385224644</v>
      </c>
    </row>
    <row r="446" spans="3:6" x14ac:dyDescent="0.35">
      <c r="C446" s="80" t="s">
        <v>1289</v>
      </c>
      <c r="D446" s="62">
        <v>111000000</v>
      </c>
      <c r="E446" s="62">
        <v>90463574</v>
      </c>
      <c r="F446">
        <f t="shared" si="6"/>
        <v>2385224644</v>
      </c>
    </row>
    <row r="447" spans="3:6" x14ac:dyDescent="0.35">
      <c r="C447" s="80" t="s">
        <v>1394</v>
      </c>
      <c r="D447" s="62">
        <v>110756521</v>
      </c>
      <c r="E447" s="62">
        <v>109859444</v>
      </c>
      <c r="F447">
        <f t="shared" si="6"/>
        <v>2385224644</v>
      </c>
    </row>
    <row r="448" spans="3:6" x14ac:dyDescent="0.35">
      <c r="C448" s="80" t="s">
        <v>1462</v>
      </c>
      <c r="D448" s="62">
        <v>110542312</v>
      </c>
      <c r="E448" s="62">
        <v>88846113</v>
      </c>
      <c r="F448">
        <f t="shared" si="6"/>
        <v>2385224644</v>
      </c>
    </row>
    <row r="449" spans="3:6" x14ac:dyDescent="0.35">
      <c r="C449" s="80" t="s">
        <v>1272</v>
      </c>
      <c r="D449" s="62">
        <v>110222244</v>
      </c>
      <c r="E449" s="62">
        <v>162001186</v>
      </c>
      <c r="F449">
        <f t="shared" si="6"/>
        <v>2385224644</v>
      </c>
    </row>
    <row r="450" spans="3:6" x14ac:dyDescent="0.35">
      <c r="C450" s="80" t="s">
        <v>1516</v>
      </c>
      <c r="D450" s="62">
        <v>109290549</v>
      </c>
      <c r="E450" s="62">
        <v>127120058</v>
      </c>
      <c r="F450">
        <f t="shared" si="6"/>
        <v>2385224644</v>
      </c>
    </row>
    <row r="451" spans="3:6" x14ac:dyDescent="0.35">
      <c r="C451" s="80" t="s">
        <v>1346</v>
      </c>
      <c r="D451" s="62">
        <v>107812451</v>
      </c>
      <c r="E451" s="62">
        <v>102308900</v>
      </c>
      <c r="F451">
        <f t="shared" si="6"/>
        <v>2385224644</v>
      </c>
    </row>
    <row r="452" spans="3:6" x14ac:dyDescent="0.35">
      <c r="C452" s="80" t="s">
        <v>1467</v>
      </c>
      <c r="D452" s="62">
        <v>107760901</v>
      </c>
      <c r="E452" s="62">
        <v>140539099</v>
      </c>
      <c r="F452">
        <f t="shared" si="6"/>
        <v>2385224644</v>
      </c>
    </row>
    <row r="453" spans="3:6" x14ac:dyDescent="0.35">
      <c r="C453" s="80" t="s">
        <v>1221</v>
      </c>
      <c r="D453" s="62">
        <v>107083674</v>
      </c>
      <c r="E453" s="62">
        <v>110485654</v>
      </c>
      <c r="F453">
        <f t="shared" si="6"/>
        <v>2385224644</v>
      </c>
    </row>
    <row r="454" spans="3:6" x14ac:dyDescent="0.35">
      <c r="C454" s="80" t="s">
        <v>1399</v>
      </c>
      <c r="D454" s="62">
        <v>106826899</v>
      </c>
      <c r="E454" s="62">
        <v>84325668</v>
      </c>
      <c r="F454">
        <f t="shared" si="6"/>
        <v>2385224644</v>
      </c>
    </row>
    <row r="455" spans="3:6" x14ac:dyDescent="0.35">
      <c r="C455" s="80" t="s">
        <v>1305</v>
      </c>
      <c r="D455" s="62">
        <v>106492683</v>
      </c>
      <c r="E455" s="62">
        <v>98982763</v>
      </c>
      <c r="F455">
        <f t="shared" si="6"/>
        <v>2385224644</v>
      </c>
    </row>
    <row r="456" spans="3:6" x14ac:dyDescent="0.35">
      <c r="C456" s="80" t="s">
        <v>1137</v>
      </c>
      <c r="D456" s="62">
        <v>106492683</v>
      </c>
      <c r="E456" s="62">
        <v>79957634</v>
      </c>
      <c r="F456">
        <f t="shared" si="6"/>
        <v>2385224644</v>
      </c>
    </row>
    <row r="457" spans="3:6" x14ac:dyDescent="0.35">
      <c r="C457" s="80" t="s">
        <v>1330</v>
      </c>
      <c r="D457" s="62">
        <v>106371290</v>
      </c>
      <c r="E457" s="62">
        <v>70098138</v>
      </c>
      <c r="F457">
        <f t="shared" si="6"/>
        <v>2385224644</v>
      </c>
    </row>
    <row r="458" spans="3:6" x14ac:dyDescent="0.35">
      <c r="C458" s="80" t="s">
        <v>1067</v>
      </c>
      <c r="D458" s="62">
        <v>106183277</v>
      </c>
      <c r="E458" s="62">
        <v>73864507</v>
      </c>
      <c r="F458">
        <f t="shared" si="6"/>
        <v>2385224644</v>
      </c>
    </row>
    <row r="459" spans="3:6" x14ac:dyDescent="0.35">
      <c r="C459" s="80" t="s">
        <v>1342</v>
      </c>
      <c r="D459" s="62">
        <v>105978000</v>
      </c>
      <c r="E459" s="62">
        <v>102922376</v>
      </c>
      <c r="F459">
        <f t="shared" si="6"/>
        <v>2385224644</v>
      </c>
    </row>
    <row r="460" spans="3:6" x14ac:dyDescent="0.35">
      <c r="C460" s="80" t="s">
        <v>1204</v>
      </c>
      <c r="D460" s="62">
        <v>105762065</v>
      </c>
      <c r="E460" s="62">
        <v>102608827</v>
      </c>
      <c r="F460">
        <f t="shared" si="6"/>
        <v>2385224644</v>
      </c>
    </row>
    <row r="461" spans="3:6" x14ac:dyDescent="0.35">
      <c r="C461" s="80" t="s">
        <v>1202</v>
      </c>
      <c r="D461" s="62">
        <v>105394121</v>
      </c>
      <c r="E461" s="62">
        <v>77730500</v>
      </c>
      <c r="F461">
        <f t="shared" si="6"/>
        <v>2385224644</v>
      </c>
    </row>
    <row r="462" spans="3:6" x14ac:dyDescent="0.35">
      <c r="C462" s="80" t="s">
        <v>1157</v>
      </c>
      <c r="D462" s="62">
        <v>105278110</v>
      </c>
      <c r="E462" s="62">
        <v>83826398</v>
      </c>
      <c r="F462">
        <f t="shared" si="6"/>
        <v>2385224644</v>
      </c>
    </row>
    <row r="463" spans="3:6" x14ac:dyDescent="0.35">
      <c r="C463" s="80" t="s">
        <v>1599</v>
      </c>
      <c r="D463" s="62">
        <v>105000000</v>
      </c>
      <c r="E463" s="62">
        <v>107886108</v>
      </c>
      <c r="F463">
        <f t="shared" si="6"/>
        <v>2385224644</v>
      </c>
    </row>
    <row r="464" spans="3:6" x14ac:dyDescent="0.35">
      <c r="C464" s="80" t="s">
        <v>1506</v>
      </c>
      <c r="D464" s="62">
        <v>104400000</v>
      </c>
      <c r="E464" s="62">
        <v>73691419</v>
      </c>
      <c r="F464">
        <f t="shared" si="6"/>
        <v>2385224644</v>
      </c>
    </row>
    <row r="465" spans="3:6" x14ac:dyDescent="0.35">
      <c r="C465" s="80" t="s">
        <v>1195</v>
      </c>
      <c r="D465" s="62">
        <v>104292551</v>
      </c>
      <c r="E465" s="62">
        <v>205957794</v>
      </c>
      <c r="F465">
        <f t="shared" si="6"/>
        <v>2385224644</v>
      </c>
    </row>
    <row r="466" spans="3:6" x14ac:dyDescent="0.35">
      <c r="C466" s="80" t="s">
        <v>1526</v>
      </c>
      <c r="D466" s="62">
        <v>104039937</v>
      </c>
      <c r="E466" s="62">
        <v>70012847</v>
      </c>
      <c r="F466">
        <f t="shared" si="6"/>
        <v>2385224644</v>
      </c>
    </row>
    <row r="467" spans="3:6" x14ac:dyDescent="0.35">
      <c r="C467" s="80" t="s">
        <v>1026</v>
      </c>
      <c r="D467" s="62">
        <v>104039937</v>
      </c>
      <c r="E467" s="62">
        <v>108344348</v>
      </c>
      <c r="F467">
        <f t="shared" si="6"/>
        <v>2385224644</v>
      </c>
    </row>
    <row r="468" spans="3:6" x14ac:dyDescent="0.35">
      <c r="C468" s="80" t="s">
        <v>1054</v>
      </c>
      <c r="D468" s="62">
        <v>104000000</v>
      </c>
      <c r="E468" s="62">
        <v>71477088</v>
      </c>
      <c r="F468">
        <f t="shared" si="6"/>
        <v>2385224644</v>
      </c>
    </row>
    <row r="469" spans="3:6" x14ac:dyDescent="0.35">
      <c r="C469" s="80" t="s">
        <v>1091</v>
      </c>
      <c r="D469" s="62">
        <v>103990656</v>
      </c>
      <c r="E469" s="62">
        <v>162833635</v>
      </c>
      <c r="F469">
        <f t="shared" si="6"/>
        <v>2385224644</v>
      </c>
    </row>
    <row r="470" spans="3:6" x14ac:dyDescent="0.35">
      <c r="C470" s="80" t="s">
        <v>1208</v>
      </c>
      <c r="D470" s="62">
        <v>103200000</v>
      </c>
      <c r="E470" s="62">
        <v>79091969</v>
      </c>
      <c r="F470">
        <f t="shared" si="6"/>
        <v>2385224644</v>
      </c>
    </row>
    <row r="471" spans="3:6" x14ac:dyDescent="0.35">
      <c r="C471" s="80" t="s">
        <v>1404</v>
      </c>
      <c r="D471" s="62">
        <v>102892154</v>
      </c>
      <c r="E471" s="62">
        <v>75628110</v>
      </c>
      <c r="F471">
        <f t="shared" si="6"/>
        <v>2385224644</v>
      </c>
    </row>
    <row r="472" spans="3:6" x14ac:dyDescent="0.35">
      <c r="C472" s="80" t="s">
        <v>1495</v>
      </c>
      <c r="D472" s="62">
        <v>102300000</v>
      </c>
      <c r="E472" s="62">
        <v>71602138</v>
      </c>
      <c r="F472">
        <f t="shared" si="6"/>
        <v>2385224644</v>
      </c>
    </row>
    <row r="473" spans="3:6" x14ac:dyDescent="0.35">
      <c r="C473" s="80" t="s">
        <v>1472</v>
      </c>
      <c r="D473" s="62">
        <v>102034442</v>
      </c>
      <c r="E473" s="62">
        <v>88715192</v>
      </c>
      <c r="F473">
        <f t="shared" si="6"/>
        <v>2385224644</v>
      </c>
    </row>
    <row r="474" spans="3:6" x14ac:dyDescent="0.35">
      <c r="C474" s="80" t="s">
        <v>1135</v>
      </c>
      <c r="D474" s="62">
        <v>101996258</v>
      </c>
      <c r="E474" s="62">
        <v>84052762</v>
      </c>
      <c r="F474">
        <f t="shared" si="6"/>
        <v>2385224644</v>
      </c>
    </row>
    <row r="475" spans="3:6" x14ac:dyDescent="0.35">
      <c r="C475" s="80" t="s">
        <v>1458</v>
      </c>
      <c r="D475" s="62">
        <v>101969658</v>
      </c>
      <c r="E475" s="62">
        <v>84395073</v>
      </c>
      <c r="F475">
        <f t="shared" si="6"/>
        <v>2385224644</v>
      </c>
    </row>
    <row r="476" spans="3:6" x14ac:dyDescent="0.35">
      <c r="C476" s="80" t="s">
        <v>1527</v>
      </c>
      <c r="D476" s="62">
        <v>101219116</v>
      </c>
      <c r="E476" s="62">
        <v>116856908</v>
      </c>
      <c r="F476">
        <f t="shared" si="6"/>
        <v>2385224644</v>
      </c>
    </row>
    <row r="477" spans="3:6" x14ac:dyDescent="0.35">
      <c r="C477" s="80" t="s">
        <v>1482</v>
      </c>
      <c r="D477" s="62">
        <v>101000000</v>
      </c>
      <c r="E477" s="62">
        <v>81052361</v>
      </c>
      <c r="F477">
        <f t="shared" si="6"/>
        <v>2385224644</v>
      </c>
    </row>
    <row r="478" spans="3:6" x14ac:dyDescent="0.35">
      <c r="C478" s="80" t="s">
        <v>1381</v>
      </c>
      <c r="D478" s="62">
        <v>100500000</v>
      </c>
      <c r="E478" s="62">
        <v>75846770</v>
      </c>
      <c r="F478">
        <f t="shared" si="6"/>
        <v>2385224644</v>
      </c>
    </row>
    <row r="479" spans="3:6" x14ac:dyDescent="0.35">
      <c r="C479" s="80" t="s">
        <v>1199</v>
      </c>
      <c r="D479" s="62">
        <v>100500000</v>
      </c>
      <c r="E479" s="62">
        <v>70231041</v>
      </c>
      <c r="F479">
        <f t="shared" ref="F479:F542" si="7">GETPIVOTDATA("Sum of International Box Office",$C$29,"Lead Actor","Adam Sandler")+GETPIVOTDATA("Sum of Domestic Box Office",$C$29,"Lead Actor","Adam Sandler")</f>
        <v>2385224644</v>
      </c>
    </row>
    <row r="480" spans="3:6" x14ac:dyDescent="0.35">
      <c r="C480" s="80" t="s">
        <v>1390</v>
      </c>
      <c r="D480" s="62">
        <v>100329456</v>
      </c>
      <c r="E480" s="62">
        <v>137340146</v>
      </c>
      <c r="F480">
        <f t="shared" si="7"/>
        <v>2385224644</v>
      </c>
    </row>
    <row r="481" spans="3:6" x14ac:dyDescent="0.35">
      <c r="C481" s="80" t="s">
        <v>1153</v>
      </c>
      <c r="D481" s="62">
        <v>100028473</v>
      </c>
      <c r="E481" s="62">
        <v>145771527</v>
      </c>
      <c r="F481">
        <f t="shared" si="7"/>
        <v>2385224644</v>
      </c>
    </row>
    <row r="482" spans="3:6" x14ac:dyDescent="0.35">
      <c r="C482" s="80" t="s">
        <v>1616</v>
      </c>
      <c r="D482" s="62">
        <v>100019072</v>
      </c>
      <c r="E482" s="62">
        <v>77591831</v>
      </c>
      <c r="F482">
        <f t="shared" si="7"/>
        <v>2385224644</v>
      </c>
    </row>
    <row r="483" spans="3:6" x14ac:dyDescent="0.35">
      <c r="C483" s="80" t="s">
        <v>1064</v>
      </c>
      <c r="D483" s="62">
        <v>100019072</v>
      </c>
      <c r="E483" s="62">
        <v>113502246</v>
      </c>
      <c r="F483">
        <f t="shared" si="7"/>
        <v>2385224644</v>
      </c>
    </row>
    <row r="484" spans="3:6" x14ac:dyDescent="0.35">
      <c r="C484" s="80" t="s">
        <v>1271</v>
      </c>
      <c r="D484" s="62">
        <v>100019072</v>
      </c>
      <c r="E484" s="62">
        <v>86432520</v>
      </c>
      <c r="F484">
        <f t="shared" si="7"/>
        <v>2385224644</v>
      </c>
    </row>
    <row r="485" spans="3:6" x14ac:dyDescent="0.35">
      <c r="C485" s="80" t="s">
        <v>1030</v>
      </c>
      <c r="D485" s="62">
        <v>98156207</v>
      </c>
      <c r="E485" s="62">
        <v>85160248</v>
      </c>
      <c r="F485">
        <f t="shared" si="7"/>
        <v>2385224644</v>
      </c>
    </row>
    <row r="486" spans="3:6" x14ac:dyDescent="0.35">
      <c r="C486" s="80" t="s">
        <v>1051</v>
      </c>
      <c r="D486" s="62">
        <v>98156207</v>
      </c>
      <c r="E486" s="62">
        <v>74058698</v>
      </c>
      <c r="F486">
        <f t="shared" si="7"/>
        <v>2385224644</v>
      </c>
    </row>
    <row r="487" spans="3:6" x14ac:dyDescent="0.35">
      <c r="C487" s="80" t="s">
        <v>1180</v>
      </c>
      <c r="D487" s="62">
        <v>98024579</v>
      </c>
      <c r="E487" s="62">
        <v>104028807</v>
      </c>
      <c r="F487">
        <f t="shared" si="7"/>
        <v>2385224644</v>
      </c>
    </row>
    <row r="488" spans="3:6" x14ac:dyDescent="0.35">
      <c r="C488" s="80" t="s">
        <v>1029</v>
      </c>
      <c r="D488" s="62">
        <v>97818375</v>
      </c>
      <c r="E488" s="62">
        <v>86611121</v>
      </c>
      <c r="F488">
        <f t="shared" si="7"/>
        <v>2385224644</v>
      </c>
    </row>
    <row r="489" spans="3:6" x14ac:dyDescent="0.35">
      <c r="C489" s="80" t="s">
        <v>1212</v>
      </c>
      <c r="D489" s="62">
        <v>97000000</v>
      </c>
      <c r="E489" s="62">
        <v>84185387</v>
      </c>
      <c r="F489">
        <f t="shared" si="7"/>
        <v>2385224644</v>
      </c>
    </row>
    <row r="490" spans="3:6" x14ac:dyDescent="0.35">
      <c r="C490" s="80" t="s">
        <v>1402</v>
      </c>
      <c r="D490" s="62">
        <v>96807196</v>
      </c>
      <c r="E490" s="62">
        <v>80106701</v>
      </c>
      <c r="F490">
        <f t="shared" si="7"/>
        <v>2385224644</v>
      </c>
    </row>
    <row r="491" spans="3:6" x14ac:dyDescent="0.35">
      <c r="C491" s="80" t="s">
        <v>1387</v>
      </c>
      <c r="D491" s="62">
        <v>96807196</v>
      </c>
      <c r="E491" s="62">
        <v>115646235</v>
      </c>
      <c r="F491">
        <f t="shared" si="7"/>
        <v>2385224644</v>
      </c>
    </row>
    <row r="492" spans="3:6" x14ac:dyDescent="0.35">
      <c r="C492" s="80" t="s">
        <v>1268</v>
      </c>
      <c r="D492" s="62">
        <v>95159822</v>
      </c>
      <c r="E492" s="62">
        <v>140525790</v>
      </c>
      <c r="F492">
        <f t="shared" si="7"/>
        <v>2385224644</v>
      </c>
    </row>
    <row r="493" spans="3:6" x14ac:dyDescent="0.35">
      <c r="C493" s="80" t="s">
        <v>1277</v>
      </c>
      <c r="D493" s="62">
        <v>94879042</v>
      </c>
      <c r="E493" s="62">
        <v>117538559</v>
      </c>
      <c r="F493">
        <f t="shared" si="7"/>
        <v>2385224644</v>
      </c>
    </row>
    <row r="494" spans="3:6" x14ac:dyDescent="0.35">
      <c r="C494" s="80" t="s">
        <v>1520</v>
      </c>
      <c r="D494" s="62">
        <v>94829853</v>
      </c>
      <c r="E494" s="62">
        <v>73034460</v>
      </c>
      <c r="F494">
        <f t="shared" si="7"/>
        <v>2385224644</v>
      </c>
    </row>
    <row r="495" spans="3:6" x14ac:dyDescent="0.35">
      <c r="C495" s="80" t="s">
        <v>1220</v>
      </c>
      <c r="D495" s="62">
        <v>94000000</v>
      </c>
      <c r="E495" s="62">
        <v>84778149</v>
      </c>
      <c r="F495">
        <f t="shared" si="7"/>
        <v>2385224644</v>
      </c>
    </row>
    <row r="496" spans="3:6" x14ac:dyDescent="0.35">
      <c r="C496" s="80" t="s">
        <v>1336</v>
      </c>
      <c r="D496" s="62">
        <v>93968412</v>
      </c>
      <c r="E496" s="62">
        <v>83043761</v>
      </c>
      <c r="F496">
        <f t="shared" si="7"/>
        <v>2385224644</v>
      </c>
    </row>
    <row r="497" spans="3:6" x14ac:dyDescent="0.35">
      <c r="C497" s="80" t="s">
        <v>1214</v>
      </c>
      <c r="D497" s="62">
        <v>92888411</v>
      </c>
      <c r="E497" s="62">
        <v>121468960</v>
      </c>
      <c r="F497">
        <f t="shared" si="7"/>
        <v>2385224644</v>
      </c>
    </row>
    <row r="498" spans="3:6" x14ac:dyDescent="0.35">
      <c r="C498" s="80" t="s">
        <v>1339</v>
      </c>
      <c r="D498" s="62">
        <v>92759125</v>
      </c>
      <c r="E498" s="62">
        <v>84752907</v>
      </c>
      <c r="F498">
        <f t="shared" si="7"/>
        <v>2385224644</v>
      </c>
    </row>
    <row r="499" spans="3:6" x14ac:dyDescent="0.35">
      <c r="C499" s="80" t="s">
        <v>1102</v>
      </c>
      <c r="D499" s="62">
        <v>92468919</v>
      </c>
      <c r="E499" s="62">
        <v>110550000</v>
      </c>
      <c r="F499">
        <f t="shared" si="7"/>
        <v>2385224644</v>
      </c>
    </row>
    <row r="500" spans="3:6" x14ac:dyDescent="0.35">
      <c r="C500" s="80" t="s">
        <v>1614</v>
      </c>
      <c r="D500" s="62">
        <v>92262423</v>
      </c>
      <c r="E500" s="62">
        <v>80281096</v>
      </c>
      <c r="F500">
        <f t="shared" si="7"/>
        <v>2385224644</v>
      </c>
    </row>
    <row r="501" spans="3:6" x14ac:dyDescent="0.35">
      <c r="C501" s="80" t="s">
        <v>1454</v>
      </c>
      <c r="D501" s="62">
        <v>91994850</v>
      </c>
      <c r="E501" s="62">
        <v>132303799</v>
      </c>
      <c r="F501">
        <f t="shared" si="7"/>
        <v>2385224644</v>
      </c>
    </row>
    <row r="502" spans="3:6" x14ac:dyDescent="0.35">
      <c r="C502" s="80" t="s">
        <v>1405</v>
      </c>
      <c r="D502" s="62">
        <v>91975828</v>
      </c>
      <c r="E502" s="62">
        <v>129906514</v>
      </c>
      <c r="F502">
        <f t="shared" si="7"/>
        <v>2385224644</v>
      </c>
    </row>
    <row r="503" spans="3:6" x14ac:dyDescent="0.35">
      <c r="C503" s="80" t="s">
        <v>1211</v>
      </c>
      <c r="D503" s="62">
        <v>91644614</v>
      </c>
      <c r="E503" s="62">
        <v>71195053</v>
      </c>
      <c r="F503">
        <f t="shared" si="7"/>
        <v>2385224644</v>
      </c>
    </row>
    <row r="504" spans="3:6" x14ac:dyDescent="0.35">
      <c r="C504" s="80" t="s">
        <v>1196</v>
      </c>
      <c r="D504" s="62">
        <v>91400000</v>
      </c>
      <c r="E504" s="62">
        <v>73648228</v>
      </c>
      <c r="F504">
        <f t="shared" si="7"/>
        <v>2385224644</v>
      </c>
    </row>
    <row r="505" spans="3:6" x14ac:dyDescent="0.35">
      <c r="C505" s="80" t="s">
        <v>1584</v>
      </c>
      <c r="D505" s="62">
        <v>91253793</v>
      </c>
      <c r="E505" s="62">
        <v>80048433</v>
      </c>
      <c r="F505">
        <f t="shared" si="7"/>
        <v>2385224644</v>
      </c>
    </row>
    <row r="506" spans="3:6" x14ac:dyDescent="0.35">
      <c r="C506" s="80" t="s">
        <v>1380</v>
      </c>
      <c r="D506" s="62">
        <v>91253793</v>
      </c>
      <c r="E506" s="62">
        <v>78222753</v>
      </c>
      <c r="F506">
        <f t="shared" si="7"/>
        <v>2385224644</v>
      </c>
    </row>
    <row r="507" spans="3:6" x14ac:dyDescent="0.35">
      <c r="C507" s="80" t="s">
        <v>1147</v>
      </c>
      <c r="D507" s="62">
        <v>91138308</v>
      </c>
      <c r="E507" s="62">
        <v>182207973</v>
      </c>
      <c r="F507">
        <f t="shared" si="7"/>
        <v>2385224644</v>
      </c>
    </row>
    <row r="508" spans="3:6" x14ac:dyDescent="0.35">
      <c r="C508" s="80" t="s">
        <v>1470</v>
      </c>
      <c r="D508" s="62">
        <v>91094722</v>
      </c>
      <c r="E508" s="62">
        <v>72219395</v>
      </c>
      <c r="F508">
        <f t="shared" si="7"/>
        <v>2385224644</v>
      </c>
    </row>
    <row r="509" spans="3:6" x14ac:dyDescent="0.35">
      <c r="C509" s="80" t="s">
        <v>1322</v>
      </c>
      <c r="D509" s="62">
        <v>90277151</v>
      </c>
      <c r="E509" s="62">
        <v>71399120</v>
      </c>
      <c r="F509">
        <f t="shared" si="7"/>
        <v>2385224644</v>
      </c>
    </row>
    <row r="510" spans="3:6" x14ac:dyDescent="0.35">
      <c r="C510" s="80" t="s">
        <v>1281</v>
      </c>
      <c r="D510" s="62">
        <v>89777745</v>
      </c>
      <c r="E510" s="62">
        <v>74273505</v>
      </c>
      <c r="F510">
        <f t="shared" si="7"/>
        <v>2385224644</v>
      </c>
    </row>
    <row r="511" spans="3:6" x14ac:dyDescent="0.35">
      <c r="C511" s="80" t="s">
        <v>1063</v>
      </c>
      <c r="D511" s="62">
        <v>89597017</v>
      </c>
      <c r="E511" s="62">
        <v>79559647</v>
      </c>
      <c r="F511">
        <f t="shared" si="7"/>
        <v>2385224644</v>
      </c>
    </row>
    <row r="512" spans="3:6" x14ac:dyDescent="0.35">
      <c r="C512" s="80" t="s">
        <v>1174</v>
      </c>
      <c r="D512" s="62">
        <v>88256141</v>
      </c>
      <c r="E512" s="62">
        <v>69701637</v>
      </c>
      <c r="F512">
        <f t="shared" si="7"/>
        <v>2385224644</v>
      </c>
    </row>
    <row r="513" spans="3:6" x14ac:dyDescent="0.35">
      <c r="C513" s="80" t="s">
        <v>1325</v>
      </c>
      <c r="D513" s="62">
        <v>87024032</v>
      </c>
      <c r="E513" s="62">
        <v>118703275</v>
      </c>
      <c r="F513">
        <f t="shared" si="7"/>
        <v>2385224644</v>
      </c>
    </row>
    <row r="514" spans="3:6" x14ac:dyDescent="0.35">
      <c r="C514" s="80" t="s">
        <v>1393</v>
      </c>
      <c r="D514" s="62">
        <v>86264224</v>
      </c>
      <c r="E514" s="62">
        <v>107918810</v>
      </c>
      <c r="F514">
        <f t="shared" si="7"/>
        <v>2385224644</v>
      </c>
    </row>
    <row r="515" spans="3:6" x14ac:dyDescent="0.35">
      <c r="C515" s="80" t="s">
        <v>1508</v>
      </c>
      <c r="D515" s="62">
        <v>86200000</v>
      </c>
      <c r="E515" s="62">
        <v>75286229</v>
      </c>
      <c r="F515">
        <f t="shared" si="7"/>
        <v>2385224644</v>
      </c>
    </row>
    <row r="516" spans="3:6" x14ac:dyDescent="0.35">
      <c r="C516" s="80" t="s">
        <v>1374</v>
      </c>
      <c r="D516" s="62">
        <v>85132192</v>
      </c>
      <c r="E516" s="62">
        <v>128067808</v>
      </c>
      <c r="F516">
        <f t="shared" si="7"/>
        <v>2385224644</v>
      </c>
    </row>
    <row r="517" spans="3:6" x14ac:dyDescent="0.35">
      <c r="C517" s="80" t="s">
        <v>1117</v>
      </c>
      <c r="D517" s="62">
        <v>85000000</v>
      </c>
      <c r="E517" s="62">
        <v>113006880</v>
      </c>
      <c r="F517">
        <f t="shared" si="7"/>
        <v>2385224644</v>
      </c>
    </row>
    <row r="518" spans="3:6" x14ac:dyDescent="0.35">
      <c r="C518" s="80" t="s">
        <v>1551</v>
      </c>
      <c r="D518" s="62">
        <v>84401560</v>
      </c>
      <c r="E518" s="62">
        <v>75791785</v>
      </c>
      <c r="F518">
        <f t="shared" si="7"/>
        <v>2385224644</v>
      </c>
    </row>
    <row r="519" spans="3:6" x14ac:dyDescent="0.35">
      <c r="C519" s="80" t="s">
        <v>1503</v>
      </c>
      <c r="D519" s="62">
        <v>84000000</v>
      </c>
      <c r="E519" s="62">
        <v>118871849</v>
      </c>
      <c r="F519">
        <f t="shared" si="7"/>
        <v>2385224644</v>
      </c>
    </row>
    <row r="520" spans="3:6" x14ac:dyDescent="0.35">
      <c r="C520" s="80" t="s">
        <v>1095</v>
      </c>
      <c r="D520" s="62">
        <v>83439151</v>
      </c>
      <c r="E520" s="62">
        <v>76806312</v>
      </c>
      <c r="F520">
        <f t="shared" si="7"/>
        <v>2385224644</v>
      </c>
    </row>
    <row r="521" spans="3:6" x14ac:dyDescent="0.35">
      <c r="C521" s="80" t="s">
        <v>1422</v>
      </c>
      <c r="D521" s="62">
        <v>81539522</v>
      </c>
      <c r="E521" s="62">
        <v>229909722</v>
      </c>
      <c r="F521">
        <f t="shared" si="7"/>
        <v>2385224644</v>
      </c>
    </row>
    <row r="522" spans="3:6" x14ac:dyDescent="0.35">
      <c r="C522" s="80" t="s">
        <v>1150</v>
      </c>
      <c r="D522" s="62">
        <v>81383965</v>
      </c>
      <c r="E522" s="62">
        <v>100919952</v>
      </c>
      <c r="F522">
        <f t="shared" si="7"/>
        <v>2385224644</v>
      </c>
    </row>
    <row r="523" spans="3:6" x14ac:dyDescent="0.35">
      <c r="C523" s="80" t="s">
        <v>1529</v>
      </c>
      <c r="D523" s="62">
        <v>81344313</v>
      </c>
      <c r="E523" s="62">
        <v>93466502</v>
      </c>
      <c r="F523">
        <f t="shared" si="7"/>
        <v>2385224644</v>
      </c>
    </row>
    <row r="524" spans="3:6" x14ac:dyDescent="0.35">
      <c r="C524" s="80" t="s">
        <v>1313</v>
      </c>
      <c r="D524" s="62">
        <v>81190583</v>
      </c>
      <c r="E524" s="62">
        <v>71309760</v>
      </c>
      <c r="F524">
        <f t="shared" si="7"/>
        <v>2385224644</v>
      </c>
    </row>
    <row r="525" spans="3:6" x14ac:dyDescent="0.35">
      <c r="C525" s="80" t="s">
        <v>1104</v>
      </c>
      <c r="D525" s="62">
        <v>81190583</v>
      </c>
      <c r="E525" s="62">
        <v>73701902</v>
      </c>
      <c r="F525">
        <f t="shared" si="7"/>
        <v>2385224644</v>
      </c>
    </row>
    <row r="526" spans="3:6" x14ac:dyDescent="0.35">
      <c r="C526" s="80" t="s">
        <v>1285</v>
      </c>
      <c r="D526" s="62">
        <v>81033923</v>
      </c>
      <c r="E526" s="62">
        <v>171050328</v>
      </c>
      <c r="F526">
        <f t="shared" si="7"/>
        <v>2385224644</v>
      </c>
    </row>
    <row r="527" spans="3:6" x14ac:dyDescent="0.35">
      <c r="C527" s="80" t="s">
        <v>1267</v>
      </c>
      <c r="D527" s="62">
        <v>80572288</v>
      </c>
      <c r="E527" s="62">
        <v>108085305</v>
      </c>
      <c r="F527">
        <f t="shared" si="7"/>
        <v>2385224644</v>
      </c>
    </row>
    <row r="528" spans="3:6" x14ac:dyDescent="0.35">
      <c r="C528" s="80" t="s">
        <v>1370</v>
      </c>
      <c r="D528" s="62">
        <v>80239000</v>
      </c>
      <c r="E528" s="62">
        <v>102543518</v>
      </c>
      <c r="F528">
        <f t="shared" si="7"/>
        <v>2385224644</v>
      </c>
    </row>
    <row r="529" spans="3:6" x14ac:dyDescent="0.35">
      <c r="C529" s="80" t="s">
        <v>1185</v>
      </c>
      <c r="D529" s="62">
        <v>80000000</v>
      </c>
      <c r="E529" s="62">
        <v>89296573</v>
      </c>
      <c r="F529">
        <f t="shared" si="7"/>
        <v>2385224644</v>
      </c>
    </row>
    <row r="530" spans="3:6" x14ac:dyDescent="0.35">
      <c r="C530" s="80" t="s">
        <v>1398</v>
      </c>
      <c r="D530" s="62">
        <v>79932634</v>
      </c>
      <c r="E530" s="62">
        <v>75817994</v>
      </c>
      <c r="F530">
        <f t="shared" si="7"/>
        <v>2385224644</v>
      </c>
    </row>
    <row r="531" spans="3:6" x14ac:dyDescent="0.35">
      <c r="C531" s="80" t="s">
        <v>1209</v>
      </c>
      <c r="D531" s="62">
        <v>79620837</v>
      </c>
      <c r="E531" s="62">
        <v>213117789</v>
      </c>
      <c r="F531">
        <f t="shared" si="7"/>
        <v>2385224644</v>
      </c>
    </row>
    <row r="532" spans="3:6" x14ac:dyDescent="0.35">
      <c r="C532" s="80" t="s">
        <v>1408</v>
      </c>
      <c r="D532" s="62">
        <v>78620023</v>
      </c>
      <c r="E532" s="62">
        <v>72266306</v>
      </c>
      <c r="F532">
        <f t="shared" si="7"/>
        <v>2385224644</v>
      </c>
    </row>
    <row r="533" spans="3:6" x14ac:dyDescent="0.35">
      <c r="C533" s="80" t="s">
        <v>1469</v>
      </c>
      <c r="D533" s="62">
        <v>78335068</v>
      </c>
      <c r="E533" s="62">
        <v>83586447</v>
      </c>
      <c r="F533">
        <f t="shared" si="7"/>
        <v>2385224644</v>
      </c>
    </row>
    <row r="534" spans="3:6" x14ac:dyDescent="0.35">
      <c r="C534" s="80" t="s">
        <v>1572</v>
      </c>
      <c r="D534" s="62">
        <v>77900000</v>
      </c>
      <c r="E534" s="62">
        <v>81198894</v>
      </c>
      <c r="F534">
        <f t="shared" si="7"/>
        <v>2385224644</v>
      </c>
    </row>
    <row r="535" spans="3:6" x14ac:dyDescent="0.35">
      <c r="C535" s="80" t="s">
        <v>1352</v>
      </c>
      <c r="D535" s="62">
        <v>77900000</v>
      </c>
      <c r="E535" s="62">
        <v>105124546</v>
      </c>
      <c r="F535">
        <f t="shared" si="7"/>
        <v>2385224644</v>
      </c>
    </row>
    <row r="536" spans="3:6" x14ac:dyDescent="0.35">
      <c r="C536" s="80" t="s">
        <v>1627</v>
      </c>
      <c r="D536" s="62">
        <v>77900000</v>
      </c>
      <c r="E536" s="62">
        <v>85744662</v>
      </c>
      <c r="F536">
        <f t="shared" si="7"/>
        <v>2385224644</v>
      </c>
    </row>
    <row r="537" spans="3:6" x14ac:dyDescent="0.35">
      <c r="C537" s="80" t="s">
        <v>1465</v>
      </c>
      <c r="D537" s="62">
        <v>77700000</v>
      </c>
      <c r="E537" s="62">
        <v>70640985</v>
      </c>
      <c r="F537">
        <f t="shared" si="7"/>
        <v>2385224644</v>
      </c>
    </row>
    <row r="538" spans="3:6" x14ac:dyDescent="0.35">
      <c r="C538" s="80" t="s">
        <v>1294</v>
      </c>
      <c r="D538" s="62">
        <v>76932170</v>
      </c>
      <c r="E538" s="62">
        <v>79883359</v>
      </c>
      <c r="F538">
        <f t="shared" si="7"/>
        <v>2385224644</v>
      </c>
    </row>
    <row r="539" spans="3:6" x14ac:dyDescent="0.35">
      <c r="C539" s="80" t="s">
        <v>1406</v>
      </c>
      <c r="D539" s="62">
        <v>76921753</v>
      </c>
      <c r="E539" s="62">
        <v>88036683</v>
      </c>
      <c r="F539">
        <f t="shared" si="7"/>
        <v>2385224644</v>
      </c>
    </row>
    <row r="540" spans="3:6" x14ac:dyDescent="0.35">
      <c r="C540" s="80" t="s">
        <v>1225</v>
      </c>
      <c r="D540" s="62">
        <v>76921753</v>
      </c>
      <c r="E540" s="62">
        <v>110175871</v>
      </c>
      <c r="F540">
        <f t="shared" si="7"/>
        <v>2385224644</v>
      </c>
    </row>
    <row r="541" spans="3:6" x14ac:dyDescent="0.35">
      <c r="C541" s="80" t="s">
        <v>1502</v>
      </c>
      <c r="D541" s="62">
        <v>76625826</v>
      </c>
      <c r="E541" s="62">
        <v>79700000</v>
      </c>
      <c r="F541">
        <f t="shared" si="7"/>
        <v>2385224644</v>
      </c>
    </row>
    <row r="542" spans="3:6" x14ac:dyDescent="0.35">
      <c r="C542" s="80" t="s">
        <v>1055</v>
      </c>
      <c r="D542" s="62">
        <v>76625826</v>
      </c>
      <c r="E542" s="62">
        <v>101440743</v>
      </c>
      <c r="F542">
        <f t="shared" si="7"/>
        <v>2385224644</v>
      </c>
    </row>
    <row r="543" spans="3:6" x14ac:dyDescent="0.35">
      <c r="C543" s="80" t="s">
        <v>1409</v>
      </c>
      <c r="D543" s="62">
        <v>76558558</v>
      </c>
      <c r="E543" s="62">
        <v>107509799</v>
      </c>
      <c r="F543">
        <f t="shared" ref="F543:F606" si="8">GETPIVOTDATA("Sum of International Box Office",$C$29,"Lead Actor","Adam Sandler")+GETPIVOTDATA("Sum of Domestic Box Office",$C$29,"Lead Actor","Adam Sandler")</f>
        <v>2385224644</v>
      </c>
    </row>
    <row r="544" spans="3:6" x14ac:dyDescent="0.35">
      <c r="C544" s="80" t="s">
        <v>1340</v>
      </c>
      <c r="D544" s="62">
        <v>76361060</v>
      </c>
      <c r="E544" s="62">
        <v>74158157</v>
      </c>
      <c r="F544">
        <f t="shared" si="8"/>
        <v>2385224644</v>
      </c>
    </row>
    <row r="545" spans="3:6" x14ac:dyDescent="0.35">
      <c r="C545" s="80" t="s">
        <v>1278</v>
      </c>
      <c r="D545" s="62">
        <v>76000000</v>
      </c>
      <c r="E545" s="62">
        <v>77698625</v>
      </c>
      <c r="F545">
        <f t="shared" si="8"/>
        <v>2385224644</v>
      </c>
    </row>
    <row r="546" spans="3:6" x14ac:dyDescent="0.35">
      <c r="C546" s="80" t="s">
        <v>1463</v>
      </c>
      <c r="D546" s="62">
        <v>75669764</v>
      </c>
      <c r="E546" s="62">
        <v>100240551</v>
      </c>
      <c r="F546">
        <f t="shared" si="8"/>
        <v>2385224644</v>
      </c>
    </row>
    <row r="547" spans="3:6" x14ac:dyDescent="0.35">
      <c r="C547" s="80" t="s">
        <v>1479</v>
      </c>
      <c r="D547" s="62">
        <v>75000000</v>
      </c>
      <c r="E547" s="62">
        <v>78771268</v>
      </c>
      <c r="F547">
        <f t="shared" si="8"/>
        <v>2385224644</v>
      </c>
    </row>
    <row r="548" spans="3:6" x14ac:dyDescent="0.35">
      <c r="C548" s="80" t="s">
        <v>1178</v>
      </c>
      <c r="D548" s="62">
        <v>74000000</v>
      </c>
      <c r="E548" s="62">
        <v>80224502</v>
      </c>
      <c r="F548">
        <f t="shared" si="8"/>
        <v>2385224644</v>
      </c>
    </row>
    <row r="549" spans="3:6" x14ac:dyDescent="0.35">
      <c r="C549" s="80" t="s">
        <v>1226</v>
      </c>
      <c r="D549" s="62">
        <v>73841639</v>
      </c>
      <c r="E549" s="62">
        <v>100289690</v>
      </c>
      <c r="F549">
        <f t="shared" si="8"/>
        <v>2385224644</v>
      </c>
    </row>
    <row r="550" spans="3:6" x14ac:dyDescent="0.35">
      <c r="C550" s="80" t="s">
        <v>1065</v>
      </c>
      <c r="D550" s="62">
        <v>73083262</v>
      </c>
      <c r="E550" s="62">
        <v>105807520</v>
      </c>
      <c r="F550">
        <f t="shared" si="8"/>
        <v>2385224644</v>
      </c>
    </row>
    <row r="551" spans="3:6" x14ac:dyDescent="0.35">
      <c r="C551" s="80" t="s">
        <v>1577</v>
      </c>
      <c r="D551" s="62">
        <v>73000000</v>
      </c>
      <c r="E551" s="62">
        <v>82304365</v>
      </c>
      <c r="F551">
        <f t="shared" si="8"/>
        <v>2385224644</v>
      </c>
    </row>
    <row r="552" spans="3:6" x14ac:dyDescent="0.35">
      <c r="C552" s="80" t="s">
        <v>1045</v>
      </c>
      <c r="D552" s="62">
        <v>72730548</v>
      </c>
      <c r="E552" s="62">
        <v>97822171</v>
      </c>
      <c r="F552">
        <f t="shared" si="8"/>
        <v>2385224644</v>
      </c>
    </row>
    <row r="553" spans="3:6" x14ac:dyDescent="0.35">
      <c r="C553" s="80" t="s">
        <v>1602</v>
      </c>
      <c r="D553" s="62">
        <v>72700000</v>
      </c>
      <c r="E553" s="62">
        <v>80047413</v>
      </c>
      <c r="F553">
        <f t="shared" si="8"/>
        <v>2385224644</v>
      </c>
    </row>
    <row r="554" spans="3:6" x14ac:dyDescent="0.35">
      <c r="C554" s="80" t="s">
        <v>1595</v>
      </c>
      <c r="D554" s="62">
        <v>72661713</v>
      </c>
      <c r="E554" s="62">
        <v>81676888</v>
      </c>
      <c r="F554">
        <f t="shared" si="8"/>
        <v>2385224644</v>
      </c>
    </row>
    <row r="555" spans="3:6" x14ac:dyDescent="0.35">
      <c r="C555" s="80" t="s">
        <v>1491</v>
      </c>
      <c r="D555" s="62">
        <v>72604130</v>
      </c>
      <c r="E555" s="62">
        <v>125014030</v>
      </c>
      <c r="F555">
        <f t="shared" si="8"/>
        <v>2385224644</v>
      </c>
    </row>
    <row r="556" spans="3:6" x14ac:dyDescent="0.35">
      <c r="C556" s="80" t="s">
        <v>1533</v>
      </c>
      <c r="D556" s="62">
        <v>72346000</v>
      </c>
      <c r="E556" s="62">
        <v>81001787</v>
      </c>
      <c r="F556">
        <f t="shared" si="8"/>
        <v>2385224644</v>
      </c>
    </row>
    <row r="557" spans="3:6" x14ac:dyDescent="0.35">
      <c r="C557" s="80" t="s">
        <v>1280</v>
      </c>
      <c r="D557" s="62">
        <v>72346000</v>
      </c>
      <c r="E557" s="62">
        <v>88625922</v>
      </c>
      <c r="F557">
        <f t="shared" si="8"/>
        <v>2385224644</v>
      </c>
    </row>
    <row r="558" spans="3:6" x14ac:dyDescent="0.35">
      <c r="C558" s="80" t="s">
        <v>1545</v>
      </c>
      <c r="D558" s="62">
        <v>70000000</v>
      </c>
      <c r="E558" s="62">
        <v>101334374</v>
      </c>
      <c r="F558">
        <f t="shared" si="8"/>
        <v>2385224644</v>
      </c>
    </row>
    <row r="559" spans="3:6" x14ac:dyDescent="0.35">
      <c r="C559" s="80" t="s">
        <v>1617</v>
      </c>
      <c r="D559" s="62">
        <v>70000000</v>
      </c>
      <c r="E559" s="62">
        <v>106823373</v>
      </c>
      <c r="F559">
        <f t="shared" si="8"/>
        <v>2385224644</v>
      </c>
    </row>
    <row r="560" spans="3:6" x14ac:dyDescent="0.35">
      <c r="C560" s="80" t="s">
        <v>1518</v>
      </c>
      <c r="D560" s="62">
        <v>69541295</v>
      </c>
      <c r="E560" s="62">
        <v>95632614</v>
      </c>
      <c r="F560">
        <f t="shared" si="8"/>
        <v>2385224644</v>
      </c>
    </row>
    <row r="561" spans="3:6" x14ac:dyDescent="0.35">
      <c r="C561" s="80" t="s">
        <v>1566</v>
      </c>
      <c r="D561" s="62">
        <v>69200000</v>
      </c>
      <c r="E561" s="62">
        <v>105224566</v>
      </c>
      <c r="F561">
        <f t="shared" si="8"/>
        <v>2385224644</v>
      </c>
    </row>
    <row r="562" spans="3:6" x14ac:dyDescent="0.35">
      <c r="C562" s="80" t="s">
        <v>1377</v>
      </c>
      <c r="D562" s="62">
        <v>68000000</v>
      </c>
      <c r="E562" s="62">
        <v>91381194</v>
      </c>
      <c r="F562">
        <f t="shared" si="8"/>
        <v>2385224644</v>
      </c>
    </row>
    <row r="563" spans="3:6" x14ac:dyDescent="0.35">
      <c r="C563" s="80" t="s">
        <v>1303</v>
      </c>
      <c r="D563" s="62">
        <v>67719000</v>
      </c>
      <c r="E563" s="62">
        <v>70978012</v>
      </c>
      <c r="F563">
        <f t="shared" si="8"/>
        <v>2385224644</v>
      </c>
    </row>
    <row r="564" spans="3:6" x14ac:dyDescent="0.35">
      <c r="C564" s="80" t="s">
        <v>1443</v>
      </c>
      <c r="D564" s="62">
        <v>67606360</v>
      </c>
      <c r="E564" s="62">
        <v>73661010</v>
      </c>
      <c r="F564">
        <f t="shared" si="8"/>
        <v>2385224644</v>
      </c>
    </row>
    <row r="565" spans="3:6" x14ac:dyDescent="0.35">
      <c r="C565" s="80" t="s">
        <v>1364</v>
      </c>
      <c r="D565" s="62">
        <v>67040820</v>
      </c>
      <c r="E565" s="62">
        <v>104354205</v>
      </c>
      <c r="F565">
        <f t="shared" si="8"/>
        <v>2385224644</v>
      </c>
    </row>
    <row r="566" spans="3:6" x14ac:dyDescent="0.35">
      <c r="C566" s="80" t="s">
        <v>1501</v>
      </c>
      <c r="D566" s="62">
        <v>67040820</v>
      </c>
      <c r="E566" s="62">
        <v>127311887</v>
      </c>
      <c r="F566">
        <f t="shared" si="8"/>
        <v>2385224644</v>
      </c>
    </row>
    <row r="567" spans="3:6" x14ac:dyDescent="0.35">
      <c r="C567" s="80" t="s">
        <v>1611</v>
      </c>
      <c r="D567" s="62">
        <v>66881404</v>
      </c>
      <c r="E567" s="62">
        <v>98000000</v>
      </c>
      <c r="F567">
        <f t="shared" si="8"/>
        <v>2385224644</v>
      </c>
    </row>
    <row r="568" spans="3:6" x14ac:dyDescent="0.35">
      <c r="C568" s="80" t="s">
        <v>1414</v>
      </c>
      <c r="D568" s="62">
        <v>66734085</v>
      </c>
      <c r="E568" s="62">
        <v>191204754</v>
      </c>
      <c r="F568">
        <f t="shared" si="8"/>
        <v>2385224644</v>
      </c>
    </row>
    <row r="569" spans="3:6" x14ac:dyDescent="0.35">
      <c r="C569" s="80" t="s">
        <v>1160</v>
      </c>
      <c r="D569" s="62">
        <v>66734085</v>
      </c>
      <c r="E569" s="62">
        <v>76323571</v>
      </c>
      <c r="F569">
        <f t="shared" si="8"/>
        <v>2385224644</v>
      </c>
    </row>
    <row r="570" spans="3:6" x14ac:dyDescent="0.35">
      <c r="C570" s="80" t="s">
        <v>1186</v>
      </c>
      <c r="D570" s="62">
        <v>66734085</v>
      </c>
      <c r="E570" s="62">
        <v>124635290</v>
      </c>
      <c r="F570">
        <f t="shared" si="8"/>
        <v>2385224644</v>
      </c>
    </row>
    <row r="571" spans="3:6" x14ac:dyDescent="0.35">
      <c r="C571" s="80" t="s">
        <v>1550</v>
      </c>
      <c r="D571" s="62">
        <v>66686829</v>
      </c>
      <c r="E571" s="62">
        <v>90135191</v>
      </c>
      <c r="F571">
        <f t="shared" si="8"/>
        <v>2385224644</v>
      </c>
    </row>
    <row r="572" spans="3:6" x14ac:dyDescent="0.35">
      <c r="C572" s="80" t="s">
        <v>1574</v>
      </c>
      <c r="D572" s="62">
        <v>66664728</v>
      </c>
      <c r="E572" s="62">
        <v>76081498</v>
      </c>
      <c r="F572">
        <f t="shared" si="8"/>
        <v>2385224644</v>
      </c>
    </row>
    <row r="573" spans="3:6" x14ac:dyDescent="0.35">
      <c r="C573" s="80" t="s">
        <v>1507</v>
      </c>
      <c r="D573" s="62">
        <v>65983182</v>
      </c>
      <c r="E573" s="62">
        <v>119725280</v>
      </c>
      <c r="F573">
        <f t="shared" si="8"/>
        <v>2385224644</v>
      </c>
    </row>
    <row r="574" spans="3:6" x14ac:dyDescent="0.35">
      <c r="C574" s="80" t="s">
        <v>1559</v>
      </c>
      <c r="D574" s="62">
        <v>65900000</v>
      </c>
      <c r="E574" s="62">
        <v>87025093</v>
      </c>
      <c r="F574">
        <f t="shared" si="8"/>
        <v>2385224644</v>
      </c>
    </row>
    <row r="575" spans="3:6" x14ac:dyDescent="0.35">
      <c r="C575" s="80" t="s">
        <v>1480</v>
      </c>
      <c r="D575" s="62">
        <v>65161488</v>
      </c>
      <c r="E575" s="62">
        <v>163479795</v>
      </c>
      <c r="F575">
        <f t="shared" si="8"/>
        <v>2385224644</v>
      </c>
    </row>
    <row r="576" spans="3:6" x14ac:dyDescent="0.35">
      <c r="C576" s="80" t="s">
        <v>1540</v>
      </c>
      <c r="D576" s="62">
        <v>64979671</v>
      </c>
      <c r="E576" s="62">
        <v>100769177</v>
      </c>
      <c r="F576">
        <f t="shared" si="8"/>
        <v>2385224644</v>
      </c>
    </row>
    <row r="577" spans="3:6" x14ac:dyDescent="0.35">
      <c r="C577" s="80" t="s">
        <v>1426</v>
      </c>
      <c r="D577" s="62">
        <v>63915758</v>
      </c>
      <c r="E577" s="62">
        <v>94835059</v>
      </c>
      <c r="F577">
        <f t="shared" si="8"/>
        <v>2385224644</v>
      </c>
    </row>
    <row r="578" spans="3:6" x14ac:dyDescent="0.35">
      <c r="C578" s="80" t="s">
        <v>1132</v>
      </c>
      <c r="D578" s="62">
        <v>63244763</v>
      </c>
      <c r="E578" s="62">
        <v>109205660</v>
      </c>
      <c r="F578">
        <f t="shared" si="8"/>
        <v>2385224644</v>
      </c>
    </row>
    <row r="579" spans="3:6" x14ac:dyDescent="0.35">
      <c r="C579" s="80" t="s">
        <v>1156</v>
      </c>
      <c r="D579" s="62">
        <v>63151000</v>
      </c>
      <c r="E579" s="62">
        <v>112950721</v>
      </c>
      <c r="F579">
        <f t="shared" si="8"/>
        <v>2385224644</v>
      </c>
    </row>
    <row r="580" spans="3:6" x14ac:dyDescent="0.35">
      <c r="C580" s="80" t="s">
        <v>1549</v>
      </c>
      <c r="D580" s="62">
        <v>62018667</v>
      </c>
      <c r="E580" s="62">
        <v>80014842</v>
      </c>
      <c r="F580">
        <f t="shared" si="8"/>
        <v>2385224644</v>
      </c>
    </row>
    <row r="581" spans="3:6" x14ac:dyDescent="0.35">
      <c r="C581" s="80" t="s">
        <v>1200</v>
      </c>
      <c r="D581" s="62">
        <v>62000000</v>
      </c>
      <c r="E581" s="62">
        <v>144512310</v>
      </c>
      <c r="F581">
        <f t="shared" si="8"/>
        <v>2385224644</v>
      </c>
    </row>
    <row r="582" spans="3:6" x14ac:dyDescent="0.35">
      <c r="C582" s="80" t="s">
        <v>1474</v>
      </c>
      <c r="D582" s="62">
        <v>61700000</v>
      </c>
      <c r="E582" s="62">
        <v>90646554</v>
      </c>
      <c r="F582">
        <f t="shared" si="8"/>
        <v>2385224644</v>
      </c>
    </row>
    <row r="583" spans="3:6" x14ac:dyDescent="0.35">
      <c r="C583" s="80" t="s">
        <v>1040</v>
      </c>
      <c r="D583" s="62">
        <v>61700000</v>
      </c>
      <c r="E583" s="62">
        <v>75530832</v>
      </c>
      <c r="F583">
        <f t="shared" si="8"/>
        <v>2385224644</v>
      </c>
    </row>
    <row r="584" spans="3:6" x14ac:dyDescent="0.35">
      <c r="C584" s="80" t="s">
        <v>1266</v>
      </c>
      <c r="D584" s="62">
        <v>61700000</v>
      </c>
      <c r="E584" s="62">
        <v>70687344</v>
      </c>
      <c r="F584">
        <f t="shared" si="8"/>
        <v>2385224644</v>
      </c>
    </row>
    <row r="585" spans="3:6" x14ac:dyDescent="0.35">
      <c r="C585" s="80" t="s">
        <v>1154</v>
      </c>
      <c r="D585" s="62">
        <v>61100000</v>
      </c>
      <c r="E585" s="62">
        <v>116735231</v>
      </c>
      <c r="F585">
        <f t="shared" si="8"/>
        <v>2385224644</v>
      </c>
    </row>
    <row r="586" spans="3:6" x14ac:dyDescent="0.35">
      <c r="C586" s="80" t="s">
        <v>1623</v>
      </c>
      <c r="D586" s="62">
        <v>61095812</v>
      </c>
      <c r="E586" s="62">
        <v>70001065</v>
      </c>
      <c r="F586">
        <f t="shared" si="8"/>
        <v>2385224644</v>
      </c>
    </row>
    <row r="587" spans="3:6" x14ac:dyDescent="0.35">
      <c r="C587" s="80" t="s">
        <v>1175</v>
      </c>
      <c r="D587" s="62">
        <v>61000000</v>
      </c>
      <c r="E587" s="62">
        <v>82599768</v>
      </c>
      <c r="F587">
        <f t="shared" si="8"/>
        <v>2385224644</v>
      </c>
    </row>
    <row r="588" spans="3:6" x14ac:dyDescent="0.35">
      <c r="C588" s="80" t="s">
        <v>1203</v>
      </c>
      <c r="D588" s="62">
        <v>60393403</v>
      </c>
      <c r="E588" s="62">
        <v>116632095</v>
      </c>
      <c r="F588">
        <f t="shared" si="8"/>
        <v>2385224644</v>
      </c>
    </row>
    <row r="589" spans="3:6" x14ac:dyDescent="0.35">
      <c r="C589" s="80" t="s">
        <v>1189</v>
      </c>
      <c r="D589" s="62">
        <v>60136806</v>
      </c>
      <c r="E589" s="62">
        <v>104148781</v>
      </c>
      <c r="F589">
        <f t="shared" si="8"/>
        <v>2385224644</v>
      </c>
    </row>
    <row r="590" spans="3:6" x14ac:dyDescent="0.35">
      <c r="C590" s="80" t="s">
        <v>1530</v>
      </c>
      <c r="D590" s="62">
        <v>60100000</v>
      </c>
      <c r="E590" s="62">
        <v>135560942</v>
      </c>
      <c r="F590">
        <f t="shared" si="8"/>
        <v>2385224644</v>
      </c>
    </row>
    <row r="591" spans="3:6" x14ac:dyDescent="0.35">
      <c r="C591" s="80" t="s">
        <v>1320</v>
      </c>
      <c r="D591" s="62">
        <v>59703766</v>
      </c>
      <c r="E591" s="62">
        <v>94514402</v>
      </c>
      <c r="F591">
        <f t="shared" si="8"/>
        <v>2385224644</v>
      </c>
    </row>
    <row r="592" spans="3:6" x14ac:dyDescent="0.35">
      <c r="C592" s="80" t="s">
        <v>1369</v>
      </c>
      <c r="D592" s="62">
        <v>59277742</v>
      </c>
      <c r="E592" s="62">
        <v>71975611</v>
      </c>
      <c r="F592">
        <f t="shared" si="8"/>
        <v>2385224644</v>
      </c>
    </row>
    <row r="593" spans="3:6" x14ac:dyDescent="0.35">
      <c r="C593" s="80" t="s">
        <v>1152</v>
      </c>
      <c r="D593" s="62">
        <v>58900000</v>
      </c>
      <c r="E593" s="62">
        <v>72778712</v>
      </c>
      <c r="F593">
        <f t="shared" si="8"/>
        <v>2385224644</v>
      </c>
    </row>
    <row r="594" spans="3:6" x14ac:dyDescent="0.35">
      <c r="C594" s="80" t="s">
        <v>1379</v>
      </c>
      <c r="D594" s="62">
        <v>58700000</v>
      </c>
      <c r="E594" s="62">
        <v>86047227</v>
      </c>
      <c r="F594">
        <f t="shared" si="8"/>
        <v>2385224644</v>
      </c>
    </row>
    <row r="595" spans="3:6" x14ac:dyDescent="0.35">
      <c r="C595" s="80" t="s">
        <v>1094</v>
      </c>
      <c r="D595" s="62">
        <v>57972112</v>
      </c>
      <c r="E595" s="62">
        <v>75510568</v>
      </c>
      <c r="F595">
        <f t="shared" si="8"/>
        <v>2385224644</v>
      </c>
    </row>
    <row r="596" spans="3:6" x14ac:dyDescent="0.35">
      <c r="C596" s="80" t="s">
        <v>1276</v>
      </c>
      <c r="D596" s="62">
        <v>57802054</v>
      </c>
      <c r="E596" s="62">
        <v>73357727</v>
      </c>
      <c r="F596">
        <f t="shared" si="8"/>
        <v>2385224644</v>
      </c>
    </row>
    <row r="597" spans="3:6" x14ac:dyDescent="0.35">
      <c r="C597" s="80" t="s">
        <v>1511</v>
      </c>
      <c r="D597" s="62">
        <v>57759104</v>
      </c>
      <c r="E597" s="62">
        <v>80639179</v>
      </c>
      <c r="F597">
        <f t="shared" si="8"/>
        <v>2385224644</v>
      </c>
    </row>
    <row r="598" spans="3:6" x14ac:dyDescent="0.35">
      <c r="C598" s="80" t="s">
        <v>1284</v>
      </c>
      <c r="D598" s="62">
        <v>57700000</v>
      </c>
      <c r="E598" s="62">
        <v>123939840</v>
      </c>
      <c r="F598">
        <f t="shared" si="8"/>
        <v>2385224644</v>
      </c>
    </row>
    <row r="599" spans="3:6" x14ac:dyDescent="0.35">
      <c r="C599" s="80" t="s">
        <v>1610</v>
      </c>
      <c r="D599" s="62">
        <v>56634646</v>
      </c>
      <c r="E599" s="62">
        <v>85416609</v>
      </c>
      <c r="F599">
        <f t="shared" si="8"/>
        <v>2385224644</v>
      </c>
    </row>
    <row r="600" spans="3:6" x14ac:dyDescent="0.35">
      <c r="C600" s="80" t="s">
        <v>1151</v>
      </c>
      <c r="D600" s="62">
        <v>56091364</v>
      </c>
      <c r="E600" s="62">
        <v>111760631</v>
      </c>
      <c r="F600">
        <f t="shared" si="8"/>
        <v>2385224644</v>
      </c>
    </row>
    <row r="601" spans="3:6" x14ac:dyDescent="0.35">
      <c r="C601" s="80" t="s">
        <v>1108</v>
      </c>
      <c r="D601" s="62">
        <v>56000000</v>
      </c>
      <c r="E601" s="62">
        <v>117559438</v>
      </c>
      <c r="F601">
        <f t="shared" si="8"/>
        <v>2385224644</v>
      </c>
    </row>
    <row r="602" spans="3:6" x14ac:dyDescent="0.35">
      <c r="C602" s="80" t="s">
        <v>1260</v>
      </c>
      <c r="D602" s="62">
        <v>55942785</v>
      </c>
      <c r="E602" s="62">
        <v>90648202</v>
      </c>
      <c r="F602">
        <f t="shared" si="8"/>
        <v>2385224644</v>
      </c>
    </row>
    <row r="603" spans="3:6" x14ac:dyDescent="0.35">
      <c r="C603" s="80" t="s">
        <v>1445</v>
      </c>
      <c r="D603" s="62">
        <v>55839136</v>
      </c>
      <c r="E603" s="62">
        <v>77437223</v>
      </c>
      <c r="F603">
        <f t="shared" si="8"/>
        <v>2385224644</v>
      </c>
    </row>
    <row r="604" spans="3:6" x14ac:dyDescent="0.35">
      <c r="C604" s="80" t="s">
        <v>1061</v>
      </c>
      <c r="D604" s="62">
        <v>55839136</v>
      </c>
      <c r="E604" s="62">
        <v>74541707</v>
      </c>
      <c r="F604">
        <f t="shared" si="8"/>
        <v>2385224644</v>
      </c>
    </row>
    <row r="605" spans="3:6" x14ac:dyDescent="0.35">
      <c r="C605" s="80" t="s">
        <v>1335</v>
      </c>
      <c r="D605" s="62">
        <v>55750649</v>
      </c>
      <c r="E605" s="62">
        <v>82234139</v>
      </c>
      <c r="F605">
        <f t="shared" si="8"/>
        <v>2385224644</v>
      </c>
    </row>
    <row r="606" spans="3:6" x14ac:dyDescent="0.35">
      <c r="C606" s="80" t="s">
        <v>1141</v>
      </c>
      <c r="D606" s="62">
        <v>54500000</v>
      </c>
      <c r="E606" s="62">
        <v>82390774</v>
      </c>
      <c r="F606">
        <f t="shared" si="8"/>
        <v>2385224644</v>
      </c>
    </row>
    <row r="607" spans="3:6" x14ac:dyDescent="0.35">
      <c r="C607" s="80" t="s">
        <v>1490</v>
      </c>
      <c r="D607" s="62">
        <v>53929263</v>
      </c>
      <c r="E607" s="62">
        <v>85911262</v>
      </c>
      <c r="F607">
        <f t="shared" ref="F607:F651" si="9">GETPIVOTDATA("Sum of International Box Office",$C$29,"Lead Actor","Adam Sandler")+GETPIVOTDATA("Sum of Domestic Box Office",$C$29,"Lead Actor","Adam Sandler")</f>
        <v>2385224644</v>
      </c>
    </row>
    <row r="608" spans="3:6" x14ac:dyDescent="0.35">
      <c r="C608" s="80" t="s">
        <v>1368</v>
      </c>
      <c r="D608" s="62">
        <v>53557629</v>
      </c>
      <c r="E608" s="62">
        <v>98711404</v>
      </c>
      <c r="F608">
        <f t="shared" si="9"/>
        <v>2385224644</v>
      </c>
    </row>
    <row r="609" spans="3:6" x14ac:dyDescent="0.35">
      <c r="C609" s="80" t="s">
        <v>1308</v>
      </c>
      <c r="D609" s="62">
        <v>53464968</v>
      </c>
      <c r="E609" s="62">
        <v>114326736</v>
      </c>
      <c r="F609">
        <f t="shared" si="9"/>
        <v>2385224644</v>
      </c>
    </row>
    <row r="610" spans="3:6" x14ac:dyDescent="0.35">
      <c r="C610" s="80" t="s">
        <v>1233</v>
      </c>
      <c r="D610" s="62">
        <v>53464968</v>
      </c>
      <c r="E610" s="62">
        <v>72286779</v>
      </c>
      <c r="F610">
        <f t="shared" si="9"/>
        <v>2385224644</v>
      </c>
    </row>
    <row r="611" spans="3:6" x14ac:dyDescent="0.35">
      <c r="C611" s="80" t="s">
        <v>1589</v>
      </c>
      <c r="D611" s="62">
        <v>52444157</v>
      </c>
      <c r="E611" s="62">
        <v>82571173</v>
      </c>
      <c r="F611">
        <f t="shared" si="9"/>
        <v>2385224644</v>
      </c>
    </row>
    <row r="612" spans="3:6" x14ac:dyDescent="0.35">
      <c r="C612" s="80" t="s">
        <v>1223</v>
      </c>
      <c r="D612" s="62">
        <v>51634572</v>
      </c>
      <c r="E612" s="62">
        <v>98927592</v>
      </c>
      <c r="F612">
        <f t="shared" si="9"/>
        <v>2385224644</v>
      </c>
    </row>
    <row r="613" spans="3:6" x14ac:dyDescent="0.35">
      <c r="C613" s="80" t="s">
        <v>1123</v>
      </c>
      <c r="D613" s="62">
        <v>51634572</v>
      </c>
      <c r="E613" s="62">
        <v>108981275</v>
      </c>
      <c r="F613">
        <f t="shared" si="9"/>
        <v>2385224644</v>
      </c>
    </row>
    <row r="614" spans="3:6" x14ac:dyDescent="0.35">
      <c r="C614" s="80" t="s">
        <v>1471</v>
      </c>
      <c r="D614" s="62">
        <v>51600000</v>
      </c>
      <c r="E614" s="62">
        <v>102647257</v>
      </c>
      <c r="F614">
        <f t="shared" si="9"/>
        <v>2385224644</v>
      </c>
    </row>
    <row r="615" spans="3:6" x14ac:dyDescent="0.35">
      <c r="C615" s="80" t="s">
        <v>1555</v>
      </c>
      <c r="D615" s="62">
        <v>51600000</v>
      </c>
      <c r="E615" s="62">
        <v>103365956</v>
      </c>
      <c r="F615">
        <f t="shared" si="9"/>
        <v>2385224644</v>
      </c>
    </row>
    <row r="616" spans="3:6" x14ac:dyDescent="0.35">
      <c r="C616" s="80" t="s">
        <v>1558</v>
      </c>
      <c r="D616" s="62">
        <v>51100000</v>
      </c>
      <c r="E616" s="62">
        <v>138614544</v>
      </c>
      <c r="F616">
        <f t="shared" si="9"/>
        <v>2385224644</v>
      </c>
    </row>
    <row r="617" spans="3:6" x14ac:dyDescent="0.35">
      <c r="C617" s="80" t="s">
        <v>1522</v>
      </c>
      <c r="D617" s="62">
        <v>50600000</v>
      </c>
      <c r="E617" s="62">
        <v>72006777</v>
      </c>
      <c r="F617">
        <f t="shared" si="9"/>
        <v>2385224644</v>
      </c>
    </row>
    <row r="618" spans="3:6" x14ac:dyDescent="0.35">
      <c r="C618" s="80" t="s">
        <v>1389</v>
      </c>
      <c r="D618" s="62">
        <v>50600000</v>
      </c>
      <c r="E618" s="62">
        <v>110222438</v>
      </c>
      <c r="F618">
        <f t="shared" si="9"/>
        <v>2385224644</v>
      </c>
    </row>
    <row r="619" spans="3:6" x14ac:dyDescent="0.35">
      <c r="C619" s="80" t="s">
        <v>1197</v>
      </c>
      <c r="D619" s="62">
        <v>50600000</v>
      </c>
      <c r="E619" s="62">
        <v>82490748</v>
      </c>
      <c r="F619">
        <f t="shared" si="9"/>
        <v>2385224644</v>
      </c>
    </row>
    <row r="620" spans="3:6" x14ac:dyDescent="0.35">
      <c r="C620" s="80" t="s">
        <v>1597</v>
      </c>
      <c r="D620" s="62">
        <v>49746319</v>
      </c>
      <c r="E620" s="62">
        <v>255959475</v>
      </c>
      <c r="F620">
        <f t="shared" si="9"/>
        <v>2385224644</v>
      </c>
    </row>
    <row r="621" spans="3:6" x14ac:dyDescent="0.35">
      <c r="C621" s="80" t="s">
        <v>1255</v>
      </c>
      <c r="D621" s="62">
        <v>47640460</v>
      </c>
      <c r="E621" s="62">
        <v>115637895</v>
      </c>
      <c r="F621">
        <f t="shared" si="9"/>
        <v>2385224644</v>
      </c>
    </row>
    <row r="622" spans="3:6" x14ac:dyDescent="0.35">
      <c r="C622" s="80" t="s">
        <v>1485</v>
      </c>
      <c r="D622" s="62">
        <v>47000000</v>
      </c>
      <c r="E622" s="62">
        <v>102705852</v>
      </c>
      <c r="F622">
        <f t="shared" si="9"/>
        <v>2385224644</v>
      </c>
    </row>
    <row r="623" spans="3:6" x14ac:dyDescent="0.35">
      <c r="C623" s="80" t="s">
        <v>1481</v>
      </c>
      <c r="D623" s="62">
        <v>46837892</v>
      </c>
      <c r="E623" s="62">
        <v>173398518</v>
      </c>
      <c r="F623">
        <f t="shared" si="9"/>
        <v>2385224644</v>
      </c>
    </row>
    <row r="624" spans="3:6" x14ac:dyDescent="0.35">
      <c r="C624" s="80" t="s">
        <v>1637</v>
      </c>
      <c r="D624" s="62">
        <v>44976083</v>
      </c>
      <c r="E624" s="62">
        <v>82465254</v>
      </c>
      <c r="F624">
        <f t="shared" si="9"/>
        <v>2385224644</v>
      </c>
    </row>
    <row r="625" spans="3:11" x14ac:dyDescent="0.35">
      <c r="C625" s="80" t="s">
        <v>1122</v>
      </c>
      <c r="D625" s="62">
        <v>44833047</v>
      </c>
      <c r="E625" s="62">
        <v>127352707</v>
      </c>
      <c r="F625">
        <f t="shared" si="9"/>
        <v>2385224644</v>
      </c>
      <c r="I625" s="71"/>
      <c r="J625" s="72"/>
      <c r="K625" s="73"/>
    </row>
    <row r="626" spans="3:11" x14ac:dyDescent="0.35">
      <c r="C626" s="80" t="s">
        <v>1192</v>
      </c>
      <c r="D626" s="62">
        <v>43414417</v>
      </c>
      <c r="E626" s="62">
        <v>169705587</v>
      </c>
      <c r="F626">
        <f t="shared" si="9"/>
        <v>2385224644</v>
      </c>
      <c r="I626" s="74"/>
      <c r="J626" s="75"/>
      <c r="K626" s="76"/>
    </row>
    <row r="627" spans="3:11" x14ac:dyDescent="0.35">
      <c r="C627" s="80" t="s">
        <v>1492</v>
      </c>
      <c r="D627" s="62">
        <v>39568572</v>
      </c>
      <c r="E627" s="62">
        <v>71038190</v>
      </c>
      <c r="F627">
        <f t="shared" si="9"/>
        <v>2385224644</v>
      </c>
      <c r="I627" s="74"/>
      <c r="J627" s="75"/>
      <c r="K627" s="76"/>
    </row>
    <row r="628" spans="3:11" x14ac:dyDescent="0.35">
      <c r="C628" s="80" t="s">
        <v>1351</v>
      </c>
      <c r="D628" s="62">
        <v>39568572</v>
      </c>
      <c r="E628" s="62">
        <v>146336178</v>
      </c>
      <c r="F628">
        <f t="shared" si="9"/>
        <v>2385224644</v>
      </c>
      <c r="I628" s="74"/>
      <c r="J628" s="75"/>
      <c r="K628" s="76"/>
    </row>
    <row r="629" spans="3:11" x14ac:dyDescent="0.35">
      <c r="C629" s="80" t="s">
        <v>1464</v>
      </c>
      <c r="D629" s="62">
        <v>38963601</v>
      </c>
      <c r="E629" s="62">
        <v>161058685</v>
      </c>
      <c r="F629">
        <f t="shared" si="9"/>
        <v>2385224644</v>
      </c>
      <c r="I629" s="74"/>
      <c r="J629" s="75"/>
      <c r="K629" s="76"/>
    </row>
    <row r="630" spans="3:11" x14ac:dyDescent="0.35">
      <c r="C630" s="80" t="s">
        <v>1079</v>
      </c>
      <c r="D630" s="62">
        <v>38963601</v>
      </c>
      <c r="E630" s="62">
        <v>83339362</v>
      </c>
      <c r="F630">
        <f t="shared" si="9"/>
        <v>2385224644</v>
      </c>
      <c r="I630" s="74"/>
      <c r="J630" s="75"/>
      <c r="K630" s="76"/>
    </row>
    <row r="631" spans="3:11" x14ac:dyDescent="0.35">
      <c r="C631" s="80" t="s">
        <v>1162</v>
      </c>
      <c r="D631" s="62">
        <v>36700000</v>
      </c>
      <c r="E631" s="62">
        <v>113327971</v>
      </c>
      <c r="F631">
        <f t="shared" si="9"/>
        <v>2385224644</v>
      </c>
      <c r="I631" s="74"/>
      <c r="J631" s="75"/>
      <c r="K631" s="76"/>
    </row>
    <row r="632" spans="3:11" x14ac:dyDescent="0.35">
      <c r="C632" s="80" t="s">
        <v>1573</v>
      </c>
      <c r="D632" s="62">
        <v>32000000</v>
      </c>
      <c r="E632" s="62">
        <v>132675402</v>
      </c>
      <c r="F632">
        <f t="shared" si="9"/>
        <v>2385224644</v>
      </c>
      <c r="I632" s="74"/>
      <c r="J632" s="75"/>
      <c r="K632" s="76"/>
    </row>
    <row r="633" spans="3:11" x14ac:dyDescent="0.35">
      <c r="C633" s="80" t="s">
        <v>1514</v>
      </c>
      <c r="D633" s="62">
        <v>29075506</v>
      </c>
      <c r="E633" s="62">
        <v>110038130</v>
      </c>
      <c r="F633">
        <f t="shared" si="9"/>
        <v>2385224644</v>
      </c>
      <c r="I633" s="74"/>
      <c r="J633" s="75"/>
      <c r="K633" s="76"/>
    </row>
    <row r="634" spans="3:11" x14ac:dyDescent="0.35">
      <c r="C634" s="80" t="s">
        <v>1505</v>
      </c>
      <c r="D634" s="62">
        <v>27000000</v>
      </c>
      <c r="E634" s="62">
        <v>118245842</v>
      </c>
      <c r="F634">
        <f t="shared" si="9"/>
        <v>2385224644</v>
      </c>
      <c r="I634" s="74"/>
      <c r="J634" s="75"/>
      <c r="K634" s="76"/>
    </row>
    <row r="635" spans="3:11" x14ac:dyDescent="0.35">
      <c r="C635" s="80" t="s">
        <v>1235</v>
      </c>
      <c r="D635" s="62">
        <v>27000000</v>
      </c>
      <c r="E635" s="62">
        <v>119500000</v>
      </c>
      <c r="F635">
        <f t="shared" si="9"/>
        <v>2385224644</v>
      </c>
      <c r="I635" s="74"/>
      <c r="J635" s="75"/>
      <c r="K635" s="76"/>
    </row>
    <row r="636" spans="3:11" x14ac:dyDescent="0.35">
      <c r="C636" s="80" t="s">
        <v>1473</v>
      </c>
      <c r="D636" s="62">
        <v>25000000</v>
      </c>
      <c r="E636" s="62">
        <v>115000000</v>
      </c>
      <c r="F636">
        <f t="shared" si="9"/>
        <v>2385224644</v>
      </c>
      <c r="I636" s="74"/>
      <c r="J636" s="75"/>
      <c r="K636" s="76"/>
    </row>
    <row r="637" spans="3:11" x14ac:dyDescent="0.35">
      <c r="C637" s="80" t="s">
        <v>1176</v>
      </c>
      <c r="D637" s="62">
        <v>24906141</v>
      </c>
      <c r="E637" s="62">
        <v>107404544</v>
      </c>
      <c r="F637">
        <f t="shared" si="9"/>
        <v>2385224644</v>
      </c>
      <c r="I637" s="74"/>
      <c r="J637" s="75"/>
      <c r="K637" s="76"/>
    </row>
    <row r="638" spans="3:11" x14ac:dyDescent="0.35">
      <c r="C638" s="80" t="s">
        <v>1476</v>
      </c>
      <c r="D638" s="62">
        <v>23700000</v>
      </c>
      <c r="E638" s="62">
        <v>275616327</v>
      </c>
      <c r="F638">
        <f t="shared" si="9"/>
        <v>2385224644</v>
      </c>
      <c r="I638" s="74"/>
      <c r="J638" s="75"/>
      <c r="K638" s="76"/>
    </row>
    <row r="639" spans="3:11" x14ac:dyDescent="0.35">
      <c r="C639" s="80" t="s">
        <v>1244</v>
      </c>
      <c r="D639" s="62">
        <v>19530700</v>
      </c>
      <c r="E639" s="62">
        <v>134202565</v>
      </c>
      <c r="F639">
        <f t="shared" si="9"/>
        <v>2385224644</v>
      </c>
      <c r="I639" s="74"/>
      <c r="J639" s="75"/>
      <c r="K639" s="76"/>
    </row>
    <row r="640" spans="3:11" x14ac:dyDescent="0.35">
      <c r="C640" s="80" t="s">
        <v>1347</v>
      </c>
      <c r="D640" s="62">
        <v>0</v>
      </c>
      <c r="E640" s="62">
        <v>141600000</v>
      </c>
      <c r="F640">
        <f t="shared" si="9"/>
        <v>2385224644</v>
      </c>
      <c r="I640" s="74"/>
      <c r="J640" s="75"/>
      <c r="K640" s="76"/>
    </row>
    <row r="641" spans="2:11" x14ac:dyDescent="0.35">
      <c r="C641" s="80" t="s">
        <v>1521</v>
      </c>
      <c r="D641" s="62">
        <v>0</v>
      </c>
      <c r="E641" s="62">
        <v>153000000</v>
      </c>
      <c r="F641">
        <f t="shared" si="9"/>
        <v>2385224644</v>
      </c>
      <c r="I641" s="74"/>
      <c r="J641" s="75"/>
      <c r="K641" s="76"/>
    </row>
    <row r="642" spans="2:11" x14ac:dyDescent="0.35">
      <c r="C642" s="80" t="s">
        <v>1605</v>
      </c>
      <c r="D642" s="62">
        <v>0</v>
      </c>
      <c r="E642" s="62">
        <v>132761962</v>
      </c>
      <c r="F642">
        <f t="shared" si="9"/>
        <v>2385224644</v>
      </c>
      <c r="I642" s="77"/>
      <c r="J642" s="78"/>
      <c r="K642" s="79"/>
    </row>
    <row r="643" spans="2:11" x14ac:dyDescent="0.35">
      <c r="C643" s="80" t="s">
        <v>1581</v>
      </c>
      <c r="D643" s="62">
        <v>0</v>
      </c>
      <c r="E643" s="62">
        <v>140241017</v>
      </c>
      <c r="F643">
        <f t="shared" si="9"/>
        <v>2385224644</v>
      </c>
    </row>
    <row r="644" spans="2:11" x14ac:dyDescent="0.35">
      <c r="C644" s="80" t="s">
        <v>1111</v>
      </c>
      <c r="D644" s="62">
        <v>0</v>
      </c>
      <c r="E644" s="62">
        <v>176188774</v>
      </c>
      <c r="F644">
        <f t="shared" si="9"/>
        <v>2385224644</v>
      </c>
    </row>
    <row r="645" spans="2:11" x14ac:dyDescent="0.35">
      <c r="C645" s="80" t="s">
        <v>1169</v>
      </c>
      <c r="D645" s="62">
        <v>0</v>
      </c>
      <c r="E645" s="62">
        <v>71319546</v>
      </c>
      <c r="F645">
        <f t="shared" si="9"/>
        <v>2385224644</v>
      </c>
    </row>
    <row r="646" spans="2:11" x14ac:dyDescent="0.35">
      <c r="C646" s="80" t="s">
        <v>1201</v>
      </c>
      <c r="D646" s="62">
        <v>0</v>
      </c>
      <c r="E646" s="62">
        <v>71338379</v>
      </c>
      <c r="F646">
        <f t="shared" si="9"/>
        <v>2385224644</v>
      </c>
    </row>
    <row r="647" spans="2:11" x14ac:dyDescent="0.35">
      <c r="C647" s="80" t="s">
        <v>1164</v>
      </c>
      <c r="D647" s="62">
        <v>0</v>
      </c>
      <c r="E647" s="62">
        <v>75600072</v>
      </c>
      <c r="F647">
        <f t="shared" si="9"/>
        <v>2385224644</v>
      </c>
    </row>
    <row r="648" spans="2:11" x14ac:dyDescent="0.35">
      <c r="C648" s="80" t="s">
        <v>1222</v>
      </c>
      <c r="D648" s="62">
        <v>0</v>
      </c>
      <c r="E648" s="62">
        <v>141843000</v>
      </c>
      <c r="F648">
        <f t="shared" si="9"/>
        <v>2385224644</v>
      </c>
    </row>
    <row r="649" spans="2:11" x14ac:dyDescent="0.35">
      <c r="C649" s="80" t="s">
        <v>1171</v>
      </c>
      <c r="D649" s="62">
        <v>0</v>
      </c>
      <c r="E649" s="62">
        <v>148117285</v>
      </c>
      <c r="F649">
        <f t="shared" si="9"/>
        <v>2385224644</v>
      </c>
    </row>
    <row r="650" spans="2:11" x14ac:dyDescent="0.35">
      <c r="C650" s="80" t="s">
        <v>1166</v>
      </c>
      <c r="D650" s="62">
        <v>0</v>
      </c>
      <c r="E650" s="62">
        <v>164016972</v>
      </c>
      <c r="F650">
        <f t="shared" si="9"/>
        <v>2385224644</v>
      </c>
    </row>
    <row r="651" spans="2:11" x14ac:dyDescent="0.35">
      <c r="C651" s="80" t="s">
        <v>1658</v>
      </c>
      <c r="D651" s="62">
        <v>187840958459</v>
      </c>
      <c r="E651" s="62">
        <v>139881616862</v>
      </c>
      <c r="F651">
        <f t="shared" si="9"/>
        <v>2385224644</v>
      </c>
    </row>
    <row r="655" spans="2:11" x14ac:dyDescent="0.35">
      <c r="B655" s="61" t="s">
        <v>1664</v>
      </c>
      <c r="C655" t="s">
        <v>1666</v>
      </c>
    </row>
    <row r="656" spans="2:11" x14ac:dyDescent="0.35">
      <c r="B656" s="80" t="s">
        <v>1607</v>
      </c>
      <c r="C656" s="62">
        <v>3506760977</v>
      </c>
    </row>
    <row r="657" spans="2:3" x14ac:dyDescent="0.35">
      <c r="B657" s="80" t="s">
        <v>1314</v>
      </c>
      <c r="C657" s="62">
        <v>3177467961</v>
      </c>
    </row>
    <row r="658" spans="2:3" x14ac:dyDescent="0.35">
      <c r="B658" s="80" t="s">
        <v>1628</v>
      </c>
      <c r="C658" s="62">
        <v>2261888889</v>
      </c>
    </row>
    <row r="659" spans="2:3" x14ac:dyDescent="0.35">
      <c r="B659" s="80" t="s">
        <v>1371</v>
      </c>
      <c r="C659" s="62">
        <v>2201668243</v>
      </c>
    </row>
    <row r="660" spans="2:3" x14ac:dyDescent="0.35">
      <c r="B660" s="80" t="s">
        <v>1173</v>
      </c>
      <c r="C660" s="62">
        <v>2023411357</v>
      </c>
    </row>
    <row r="675" spans="3:13" x14ac:dyDescent="0.35">
      <c r="C675" s="61" t="s">
        <v>1664</v>
      </c>
      <c r="D675" t="s">
        <v>1667</v>
      </c>
      <c r="F675" s="61" t="s">
        <v>1664</v>
      </c>
      <c r="G675" t="s">
        <v>1666</v>
      </c>
      <c r="I675" s="61" t="s">
        <v>1664</v>
      </c>
      <c r="J675" t="s">
        <v>1665</v>
      </c>
      <c r="L675" s="61" t="s">
        <v>1664</v>
      </c>
      <c r="M675" t="s">
        <v>1669</v>
      </c>
    </row>
    <row r="676" spans="3:13" x14ac:dyDescent="0.35">
      <c r="C676" s="80" t="s">
        <v>1314</v>
      </c>
      <c r="D676" s="62">
        <v>1682500000</v>
      </c>
      <c r="F676" s="80" t="s">
        <v>1607</v>
      </c>
      <c r="G676" s="62">
        <v>3506760977</v>
      </c>
      <c r="I676" s="80" t="s">
        <v>1607</v>
      </c>
      <c r="J676" s="62">
        <v>1989993745</v>
      </c>
      <c r="L676" s="80" t="s">
        <v>1158</v>
      </c>
      <c r="M676" s="62">
        <v>2</v>
      </c>
    </row>
    <row r="677" spans="3:13" x14ac:dyDescent="0.35">
      <c r="C677" s="80" t="s">
        <v>1607</v>
      </c>
      <c r="D677" s="62">
        <v>1376000000</v>
      </c>
      <c r="F677" s="80" t="s">
        <v>1314</v>
      </c>
      <c r="G677" s="62">
        <v>3177467961</v>
      </c>
      <c r="I677" s="80" t="s">
        <v>1314</v>
      </c>
      <c r="J677" s="62">
        <v>1897661308</v>
      </c>
      <c r="L677" s="80" t="s">
        <v>1605</v>
      </c>
      <c r="M677" s="62">
        <v>1</v>
      </c>
    </row>
    <row r="678" spans="3:13" x14ac:dyDescent="0.35">
      <c r="C678" s="80" t="s">
        <v>1146</v>
      </c>
      <c r="D678" s="62">
        <v>820000000</v>
      </c>
      <c r="F678" s="80" t="s">
        <v>1628</v>
      </c>
      <c r="G678" s="62">
        <v>2261888889</v>
      </c>
      <c r="I678" s="80" t="s">
        <v>1068</v>
      </c>
      <c r="J678" s="62">
        <v>1457120902</v>
      </c>
      <c r="L678" s="80" t="s">
        <v>1531</v>
      </c>
      <c r="M678" s="62">
        <v>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74DD-402C-45B4-8650-1C9134A90074}">
  <dimension ref="F11:H27"/>
  <sheetViews>
    <sheetView showGridLines="0" workbookViewId="0">
      <selection activeCell="F31" sqref="F31"/>
    </sheetView>
  </sheetViews>
  <sheetFormatPr defaultRowHeight="15.5" x14ac:dyDescent="0.35"/>
  <cols>
    <col min="6" max="6" width="16.33203125" bestFit="1" customWidth="1"/>
    <col min="7" max="7" width="27.1640625" bestFit="1" customWidth="1"/>
    <col min="8" max="8" width="26.08203125" bestFit="1" customWidth="1"/>
  </cols>
  <sheetData>
    <row r="11" spans="6:8" x14ac:dyDescent="0.35">
      <c r="F11" s="50" t="s">
        <v>1657</v>
      </c>
      <c r="G11" s="54" t="s">
        <v>1662</v>
      </c>
      <c r="H11" s="54" t="s">
        <v>1663</v>
      </c>
    </row>
    <row r="12" spans="6:8" x14ac:dyDescent="0.35">
      <c r="F12" s="57" t="s">
        <v>1314</v>
      </c>
      <c r="G12" s="81">
        <v>804600000</v>
      </c>
      <c r="H12" s="81">
        <v>3177467961</v>
      </c>
    </row>
    <row r="13" spans="6:8" x14ac:dyDescent="0.35">
      <c r="F13" s="57" t="s">
        <v>1628</v>
      </c>
      <c r="G13" s="81">
        <v>1165213799</v>
      </c>
      <c r="H13" s="81">
        <v>2261888889</v>
      </c>
    </row>
    <row r="14" spans="6:8" x14ac:dyDescent="0.35">
      <c r="F14" s="57" t="s">
        <v>1371</v>
      </c>
      <c r="G14" s="81">
        <v>1548943366</v>
      </c>
      <c r="H14" s="81">
        <v>2201668243</v>
      </c>
    </row>
    <row r="15" spans="6:8" x14ac:dyDescent="0.35">
      <c r="F15" s="57" t="s">
        <v>1173</v>
      </c>
      <c r="G15" s="81">
        <v>2023411357</v>
      </c>
      <c r="H15" s="81">
        <v>2023411357</v>
      </c>
    </row>
    <row r="16" spans="6:8" x14ac:dyDescent="0.35">
      <c r="F16" s="57" t="s">
        <v>1513</v>
      </c>
      <c r="G16" s="81">
        <v>806400000</v>
      </c>
      <c r="H16" s="81">
        <v>1708463558</v>
      </c>
    </row>
    <row r="17" spans="6:8" x14ac:dyDescent="0.35">
      <c r="F17" s="57" t="s">
        <v>1323</v>
      </c>
      <c r="G17" s="81">
        <v>960500000</v>
      </c>
      <c r="H17" s="81">
        <v>1617679821</v>
      </c>
    </row>
    <row r="18" spans="6:8" x14ac:dyDescent="0.35">
      <c r="F18" s="57" t="s">
        <v>1561</v>
      </c>
      <c r="G18" s="81">
        <v>771400000</v>
      </c>
      <c r="H18" s="81">
        <v>1594834228</v>
      </c>
    </row>
    <row r="19" spans="6:8" x14ac:dyDescent="0.35">
      <c r="F19" s="57" t="s">
        <v>1146</v>
      </c>
      <c r="G19" s="81">
        <v>806166704</v>
      </c>
      <c r="H19" s="81">
        <v>1588448532</v>
      </c>
    </row>
    <row r="20" spans="6:8" x14ac:dyDescent="0.35">
      <c r="F20" s="57" t="s">
        <v>1190</v>
      </c>
      <c r="G20" s="81">
        <v>1548943366</v>
      </c>
      <c r="H20" s="81">
        <v>1548943366</v>
      </c>
    </row>
    <row r="21" spans="6:8" x14ac:dyDescent="0.35">
      <c r="F21" s="57" t="s">
        <v>1395</v>
      </c>
      <c r="G21" s="81">
        <v>858600000</v>
      </c>
      <c r="H21" s="81">
        <v>1537247141</v>
      </c>
    </row>
    <row r="22" spans="6:8" x14ac:dyDescent="0.35">
      <c r="F22" s="57" t="s">
        <v>1118</v>
      </c>
      <c r="G22" s="81">
        <v>1016713244</v>
      </c>
      <c r="H22" s="81">
        <v>1454713244</v>
      </c>
    </row>
    <row r="23" spans="6:8" x14ac:dyDescent="0.35">
      <c r="F23" s="57" t="s">
        <v>1546</v>
      </c>
      <c r="G23" s="81">
        <v>896200000</v>
      </c>
      <c r="H23" s="81">
        <v>1220200000</v>
      </c>
    </row>
    <row r="24" spans="6:8" x14ac:dyDescent="0.35">
      <c r="F24" s="57" t="s">
        <v>1129</v>
      </c>
      <c r="G24" s="81">
        <v>945700000</v>
      </c>
      <c r="H24" s="81">
        <v>945700000</v>
      </c>
    </row>
    <row r="25" spans="6:8" x14ac:dyDescent="0.35">
      <c r="F25" s="57" t="s">
        <v>1357</v>
      </c>
      <c r="G25" s="81">
        <v>873496971</v>
      </c>
      <c r="H25" s="81">
        <v>873496971</v>
      </c>
    </row>
    <row r="26" spans="6:8" x14ac:dyDescent="0.35">
      <c r="F26" s="57" t="s">
        <v>1292</v>
      </c>
      <c r="G26" s="81">
        <v>825868529</v>
      </c>
      <c r="H26" s="81">
        <v>825868529</v>
      </c>
    </row>
    <row r="27" spans="6:8" x14ac:dyDescent="0.35">
      <c r="F27" s="57" t="s">
        <v>1658</v>
      </c>
      <c r="G27" s="81">
        <v>2023411357</v>
      </c>
      <c r="H27" s="81">
        <v>24580031840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4245-BBAE-46B5-9276-C9E82CADFC70}">
  <dimension ref="A1:C17"/>
  <sheetViews>
    <sheetView zoomScale="90" zoomScaleNormal="90" workbookViewId="0">
      <selection activeCell="B13" sqref="B13"/>
    </sheetView>
  </sheetViews>
  <sheetFormatPr defaultRowHeight="15.5" x14ac:dyDescent="0.35"/>
  <cols>
    <col min="1" max="1" width="37.4140625" customWidth="1"/>
    <col min="2" max="2" width="37.08203125" customWidth="1"/>
    <col min="3" max="3" width="41.9140625" customWidth="1"/>
  </cols>
  <sheetData>
    <row r="1" spans="1:3" ht="28.5" x14ac:dyDescent="0.65">
      <c r="A1" s="3" t="s">
        <v>1011</v>
      </c>
    </row>
    <row r="2" spans="1:3" ht="5.4" customHeight="1" x14ac:dyDescent="0.35"/>
    <row r="3" spans="1:3" ht="83.4" customHeight="1" x14ac:dyDescent="0.35">
      <c r="A3" s="58" t="s">
        <v>1655</v>
      </c>
      <c r="B3" s="58"/>
      <c r="C3" s="58"/>
    </row>
    <row r="5" spans="1:3" s="24" customFormat="1" ht="47.4" customHeight="1" x14ac:dyDescent="0.4">
      <c r="A5" s="26" t="s">
        <v>1020</v>
      </c>
      <c r="B5" s="27" t="s">
        <v>1021</v>
      </c>
      <c r="C5" s="27" t="s">
        <v>1014</v>
      </c>
    </row>
    <row r="6" spans="1:3" s="25" customFormat="1" ht="46.25" customHeight="1" x14ac:dyDescent="0.35">
      <c r="A6" s="44" t="s">
        <v>1012</v>
      </c>
      <c r="B6" s="29">
        <f>COUNTIF('6-Movie Data'!H1:H1001,"Yes")</f>
        <v>218</v>
      </c>
      <c r="C6" s="28" t="s">
        <v>1016</v>
      </c>
    </row>
    <row r="7" spans="1:3" ht="46.25" customHeight="1" x14ac:dyDescent="0.35">
      <c r="A7" s="44" t="s">
        <v>1013</v>
      </c>
      <c r="B7" s="30">
        <f>SUMIF('6-Movie Data'!E1:E1001,"2001",'6-Movie Data'!L1:L1001)</f>
        <v>2296500000</v>
      </c>
      <c r="C7" s="31" t="s">
        <v>1015</v>
      </c>
    </row>
    <row r="8" spans="1:3" ht="46.25" customHeight="1" x14ac:dyDescent="0.35">
      <c r="A8" s="59" t="s">
        <v>1018</v>
      </c>
      <c r="B8" s="60">
        <f>_xlfn.MAXIFS('6-Movie Data'!J2:J1001,'6-Movie Data'!K2:K1001,"Y")</f>
        <v>763562762</v>
      </c>
      <c r="C8" s="32" t="s">
        <v>1017</v>
      </c>
    </row>
    <row r="9" spans="1:3" ht="37.25" customHeight="1" x14ac:dyDescent="0.35">
      <c r="A9" s="59"/>
      <c r="B9" s="60"/>
      <c r="C9" s="33" t="s">
        <v>1019</v>
      </c>
    </row>
    <row r="10" spans="1:3" x14ac:dyDescent="0.35">
      <c r="A10" s="1"/>
    </row>
    <row r="11" spans="1:3" x14ac:dyDescent="0.35">
      <c r="A11" s="1"/>
    </row>
    <row r="12" spans="1:3" x14ac:dyDescent="0.35">
      <c r="A12" s="1"/>
    </row>
    <row r="13" spans="1:3" x14ac:dyDescent="0.35">
      <c r="A13" s="1"/>
    </row>
    <row r="14" spans="1:3" x14ac:dyDescent="0.35">
      <c r="A14" s="1"/>
    </row>
    <row r="15" spans="1:3" x14ac:dyDescent="0.35">
      <c r="A15" s="1"/>
    </row>
    <row r="16" spans="1:3" x14ac:dyDescent="0.35">
      <c r="A16" s="1"/>
    </row>
    <row r="17" spans="1:1" x14ac:dyDescent="0.35">
      <c r="A17" s="1"/>
    </row>
  </sheetData>
  <mergeCells count="3">
    <mergeCell ref="A3:C3"/>
    <mergeCell ref="A8:A9"/>
    <mergeCell ref="B8:B9"/>
  </mergeCells>
  <hyperlinks>
    <hyperlink ref="C9" r:id="rId1" xr:uid="{B7E37852-3F3D-4E47-BB46-2730A00285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5724-E76D-485E-87BA-D2B76909C791}">
  <dimension ref="A1:B622"/>
  <sheetViews>
    <sheetView topLeftCell="A143" workbookViewId="0">
      <selection activeCell="B151" sqref="B151"/>
    </sheetView>
  </sheetViews>
  <sheetFormatPr defaultColWidth="8.83203125" defaultRowHeight="15.5" x14ac:dyDescent="0.35"/>
  <cols>
    <col min="1" max="1" width="11.83203125" customWidth="1"/>
    <col min="2" max="2" width="29.83203125" customWidth="1"/>
  </cols>
  <sheetData>
    <row r="1" spans="1:2" x14ac:dyDescent="0.35">
      <c r="A1" s="38" t="s">
        <v>1022</v>
      </c>
      <c r="B1" s="38" t="s">
        <v>1023</v>
      </c>
    </row>
    <row r="2" spans="1:2" x14ac:dyDescent="0.35">
      <c r="A2" s="2">
        <v>10000</v>
      </c>
      <c r="B2" s="39" t="s">
        <v>1024</v>
      </c>
    </row>
    <row r="3" spans="1:2" x14ac:dyDescent="0.35">
      <c r="A3" s="2">
        <v>10015</v>
      </c>
      <c r="B3" s="39" t="s">
        <v>1025</v>
      </c>
    </row>
    <row r="4" spans="1:2" x14ac:dyDescent="0.35">
      <c r="A4" s="2">
        <v>10030</v>
      </c>
      <c r="B4" s="39" t="s">
        <v>1026</v>
      </c>
    </row>
    <row r="5" spans="1:2" x14ac:dyDescent="0.35">
      <c r="A5" s="2">
        <v>10045</v>
      </c>
      <c r="B5" s="39" t="s">
        <v>1027</v>
      </c>
    </row>
    <row r="6" spans="1:2" x14ac:dyDescent="0.35">
      <c r="A6" s="2">
        <v>10060</v>
      </c>
      <c r="B6" s="39" t="s">
        <v>1028</v>
      </c>
    </row>
    <row r="7" spans="1:2" x14ac:dyDescent="0.35">
      <c r="A7" s="2">
        <v>10075</v>
      </c>
      <c r="B7" s="39" t="s">
        <v>1029</v>
      </c>
    </row>
    <row r="8" spans="1:2" x14ac:dyDescent="0.35">
      <c r="A8" s="2">
        <v>10090</v>
      </c>
      <c r="B8" s="39" t="s">
        <v>1030</v>
      </c>
    </row>
    <row r="9" spans="1:2" x14ac:dyDescent="0.35">
      <c r="A9" s="2">
        <v>10105</v>
      </c>
      <c r="B9" s="39" t="s">
        <v>1031</v>
      </c>
    </row>
    <row r="10" spans="1:2" x14ac:dyDescent="0.35">
      <c r="A10" s="2">
        <v>10120</v>
      </c>
      <c r="B10" s="39" t="s">
        <v>1032</v>
      </c>
    </row>
    <row r="11" spans="1:2" x14ac:dyDescent="0.35">
      <c r="A11" s="2">
        <v>10135</v>
      </c>
      <c r="B11" s="39" t="s">
        <v>1033</v>
      </c>
    </row>
    <row r="12" spans="1:2" x14ac:dyDescent="0.35">
      <c r="A12" s="2">
        <v>10150</v>
      </c>
      <c r="B12" s="39" t="s">
        <v>1034</v>
      </c>
    </row>
    <row r="13" spans="1:2" x14ac:dyDescent="0.35">
      <c r="A13" s="2">
        <v>10165</v>
      </c>
      <c r="B13" s="39" t="s">
        <v>1035</v>
      </c>
    </row>
    <row r="14" spans="1:2" x14ac:dyDescent="0.35">
      <c r="A14" s="2">
        <v>10180</v>
      </c>
      <c r="B14" s="39" t="s">
        <v>1036</v>
      </c>
    </row>
    <row r="15" spans="1:2" x14ac:dyDescent="0.35">
      <c r="A15" s="2">
        <v>10195</v>
      </c>
      <c r="B15" s="39" t="s">
        <v>1037</v>
      </c>
    </row>
    <row r="16" spans="1:2" x14ac:dyDescent="0.35">
      <c r="A16" s="2">
        <v>10210</v>
      </c>
      <c r="B16" s="39" t="s">
        <v>1038</v>
      </c>
    </row>
    <row r="17" spans="1:2" x14ac:dyDescent="0.35">
      <c r="A17" s="2">
        <v>10225</v>
      </c>
      <c r="B17" s="39" t="s">
        <v>1039</v>
      </c>
    </row>
    <row r="18" spans="1:2" x14ac:dyDescent="0.35">
      <c r="A18" s="2">
        <v>10240</v>
      </c>
      <c r="B18" s="39" t="s">
        <v>1040</v>
      </c>
    </row>
    <row r="19" spans="1:2" x14ac:dyDescent="0.35">
      <c r="A19" s="2">
        <v>10255</v>
      </c>
      <c r="B19" s="39" t="s">
        <v>1041</v>
      </c>
    </row>
    <row r="20" spans="1:2" x14ac:dyDescent="0.35">
      <c r="A20" s="2">
        <v>10270</v>
      </c>
      <c r="B20" s="39" t="s">
        <v>1042</v>
      </c>
    </row>
    <row r="21" spans="1:2" x14ac:dyDescent="0.35">
      <c r="A21" s="2">
        <v>10285</v>
      </c>
      <c r="B21" s="39" t="s">
        <v>1043</v>
      </c>
    </row>
    <row r="22" spans="1:2" x14ac:dyDescent="0.35">
      <c r="A22" s="2">
        <v>10300</v>
      </c>
      <c r="B22" s="39" t="s">
        <v>1044</v>
      </c>
    </row>
    <row r="23" spans="1:2" x14ac:dyDescent="0.35">
      <c r="A23" s="2">
        <v>10315</v>
      </c>
      <c r="B23" s="39" t="s">
        <v>1045</v>
      </c>
    </row>
    <row r="24" spans="1:2" x14ac:dyDescent="0.35">
      <c r="A24" s="2">
        <v>10330</v>
      </c>
      <c r="B24" s="39" t="s">
        <v>1046</v>
      </c>
    </row>
    <row r="25" spans="1:2" x14ac:dyDescent="0.35">
      <c r="A25" s="2">
        <v>10345</v>
      </c>
      <c r="B25" s="39" t="s">
        <v>1047</v>
      </c>
    </row>
    <row r="26" spans="1:2" x14ac:dyDescent="0.35">
      <c r="A26" s="2">
        <v>10360</v>
      </c>
      <c r="B26" s="39" t="s">
        <v>1048</v>
      </c>
    </row>
    <row r="27" spans="1:2" x14ac:dyDescent="0.35">
      <c r="A27" s="2">
        <v>10375</v>
      </c>
      <c r="B27" s="39" t="s">
        <v>1049</v>
      </c>
    </row>
    <row r="28" spans="1:2" x14ac:dyDescent="0.35">
      <c r="A28" s="2">
        <v>10390</v>
      </c>
      <c r="B28" s="39" t="s">
        <v>1050</v>
      </c>
    </row>
    <row r="29" spans="1:2" x14ac:dyDescent="0.35">
      <c r="A29" s="2">
        <v>10405</v>
      </c>
      <c r="B29" s="39" t="s">
        <v>1051</v>
      </c>
    </row>
    <row r="30" spans="1:2" x14ac:dyDescent="0.35">
      <c r="A30" s="2">
        <v>10420</v>
      </c>
      <c r="B30" s="39" t="s">
        <v>1052</v>
      </c>
    </row>
    <row r="31" spans="1:2" x14ac:dyDescent="0.35">
      <c r="A31" s="2">
        <v>10435</v>
      </c>
      <c r="B31" s="39" t="s">
        <v>1053</v>
      </c>
    </row>
    <row r="32" spans="1:2" x14ac:dyDescent="0.35">
      <c r="A32" s="2">
        <v>10450</v>
      </c>
      <c r="B32" s="39" t="s">
        <v>1054</v>
      </c>
    </row>
    <row r="33" spans="1:2" x14ac:dyDescent="0.35">
      <c r="A33" s="2">
        <v>10465</v>
      </c>
      <c r="B33" s="39" t="s">
        <v>1055</v>
      </c>
    </row>
    <row r="34" spans="1:2" x14ac:dyDescent="0.35">
      <c r="A34" s="2">
        <v>10480</v>
      </c>
      <c r="B34" s="39" t="s">
        <v>1056</v>
      </c>
    </row>
    <row r="35" spans="1:2" x14ac:dyDescent="0.35">
      <c r="A35" s="2">
        <v>10495</v>
      </c>
      <c r="B35" s="39" t="s">
        <v>1057</v>
      </c>
    </row>
    <row r="36" spans="1:2" x14ac:dyDescent="0.35">
      <c r="A36" s="2">
        <v>10510</v>
      </c>
      <c r="B36" s="39" t="s">
        <v>1058</v>
      </c>
    </row>
    <row r="37" spans="1:2" x14ac:dyDescent="0.35">
      <c r="A37" s="2">
        <v>10525</v>
      </c>
      <c r="B37" s="39" t="s">
        <v>1059</v>
      </c>
    </row>
    <row r="38" spans="1:2" x14ac:dyDescent="0.35">
      <c r="A38" s="2">
        <v>10540</v>
      </c>
      <c r="B38" s="39" t="s">
        <v>1060</v>
      </c>
    </row>
    <row r="39" spans="1:2" x14ac:dyDescent="0.35">
      <c r="A39" s="2">
        <v>10555</v>
      </c>
      <c r="B39" s="39" t="s">
        <v>1061</v>
      </c>
    </row>
    <row r="40" spans="1:2" x14ac:dyDescent="0.35">
      <c r="A40" s="2">
        <v>10570</v>
      </c>
      <c r="B40" s="39" t="s">
        <v>1062</v>
      </c>
    </row>
    <row r="41" spans="1:2" x14ac:dyDescent="0.35">
      <c r="A41" s="2">
        <v>10585</v>
      </c>
      <c r="B41" s="39" t="s">
        <v>1063</v>
      </c>
    </row>
    <row r="42" spans="1:2" x14ac:dyDescent="0.35">
      <c r="A42" s="2">
        <v>10600</v>
      </c>
      <c r="B42" s="39" t="s">
        <v>1064</v>
      </c>
    </row>
    <row r="43" spans="1:2" x14ac:dyDescent="0.35">
      <c r="A43" s="2">
        <v>10615</v>
      </c>
      <c r="B43" s="39" t="s">
        <v>1065</v>
      </c>
    </row>
    <row r="44" spans="1:2" x14ac:dyDescent="0.35">
      <c r="A44" s="2">
        <v>10630</v>
      </c>
      <c r="B44" s="39" t="s">
        <v>1066</v>
      </c>
    </row>
    <row r="45" spans="1:2" x14ac:dyDescent="0.35">
      <c r="A45" s="2">
        <v>10645</v>
      </c>
      <c r="B45" s="39" t="s">
        <v>1067</v>
      </c>
    </row>
    <row r="46" spans="1:2" x14ac:dyDescent="0.35">
      <c r="A46" s="2">
        <v>10660</v>
      </c>
      <c r="B46" s="39" t="s">
        <v>1068</v>
      </c>
    </row>
    <row r="47" spans="1:2" x14ac:dyDescent="0.35">
      <c r="A47" s="2">
        <v>10675</v>
      </c>
      <c r="B47" s="39" t="s">
        <v>1069</v>
      </c>
    </row>
    <row r="48" spans="1:2" x14ac:dyDescent="0.35">
      <c r="A48" s="2">
        <v>10690</v>
      </c>
      <c r="B48" s="39" t="s">
        <v>1070</v>
      </c>
    </row>
    <row r="49" spans="1:2" x14ac:dyDescent="0.35">
      <c r="A49" s="2">
        <v>10705</v>
      </c>
      <c r="B49" s="39" t="s">
        <v>1071</v>
      </c>
    </row>
    <row r="50" spans="1:2" x14ac:dyDescent="0.35">
      <c r="A50" s="2">
        <v>10720</v>
      </c>
      <c r="B50" s="39" t="s">
        <v>1072</v>
      </c>
    </row>
    <row r="51" spans="1:2" x14ac:dyDescent="0.35">
      <c r="A51" s="2">
        <v>10735</v>
      </c>
      <c r="B51" s="39" t="s">
        <v>1073</v>
      </c>
    </row>
    <row r="52" spans="1:2" x14ac:dyDescent="0.35">
      <c r="A52" s="2">
        <v>10750</v>
      </c>
      <c r="B52" s="39" t="s">
        <v>1074</v>
      </c>
    </row>
    <row r="53" spans="1:2" x14ac:dyDescent="0.35">
      <c r="A53" s="2">
        <v>10765</v>
      </c>
      <c r="B53" s="39" t="s">
        <v>1075</v>
      </c>
    </row>
    <row r="54" spans="1:2" x14ac:dyDescent="0.35">
      <c r="A54" s="2">
        <v>10780</v>
      </c>
      <c r="B54" s="39" t="s">
        <v>1076</v>
      </c>
    </row>
    <row r="55" spans="1:2" x14ac:dyDescent="0.35">
      <c r="A55" s="2">
        <v>10795</v>
      </c>
      <c r="B55" s="39" t="s">
        <v>1077</v>
      </c>
    </row>
    <row r="56" spans="1:2" x14ac:dyDescent="0.35">
      <c r="A56" s="2">
        <v>10810</v>
      </c>
      <c r="B56" s="39" t="s">
        <v>1078</v>
      </c>
    </row>
    <row r="57" spans="1:2" x14ac:dyDescent="0.35">
      <c r="A57" s="2">
        <v>10825</v>
      </c>
      <c r="B57" s="39" t="s">
        <v>1079</v>
      </c>
    </row>
    <row r="58" spans="1:2" x14ac:dyDescent="0.35">
      <c r="A58" s="2">
        <v>10840</v>
      </c>
      <c r="B58" s="39" t="s">
        <v>1080</v>
      </c>
    </row>
    <row r="59" spans="1:2" x14ac:dyDescent="0.35">
      <c r="A59" s="2">
        <v>10855</v>
      </c>
      <c r="B59" s="39" t="s">
        <v>1081</v>
      </c>
    </row>
    <row r="60" spans="1:2" x14ac:dyDescent="0.35">
      <c r="A60" s="2">
        <v>10870</v>
      </c>
      <c r="B60" s="39" t="s">
        <v>1082</v>
      </c>
    </row>
    <row r="61" spans="1:2" x14ac:dyDescent="0.35">
      <c r="A61" s="2">
        <v>10885</v>
      </c>
      <c r="B61" s="39" t="s">
        <v>1083</v>
      </c>
    </row>
    <row r="62" spans="1:2" x14ac:dyDescent="0.35">
      <c r="A62" s="2">
        <v>10900</v>
      </c>
      <c r="B62" s="39" t="s">
        <v>1084</v>
      </c>
    </row>
    <row r="63" spans="1:2" x14ac:dyDescent="0.35">
      <c r="A63" s="2">
        <v>10915</v>
      </c>
      <c r="B63" s="39" t="s">
        <v>1085</v>
      </c>
    </row>
    <row r="64" spans="1:2" x14ac:dyDescent="0.35">
      <c r="A64" s="2">
        <v>10930</v>
      </c>
      <c r="B64" s="39" t="s">
        <v>1086</v>
      </c>
    </row>
    <row r="65" spans="1:2" x14ac:dyDescent="0.35">
      <c r="A65" s="2">
        <v>10945</v>
      </c>
      <c r="B65" s="39" t="s">
        <v>1087</v>
      </c>
    </row>
    <row r="66" spans="1:2" x14ac:dyDescent="0.35">
      <c r="A66" s="2">
        <v>10960</v>
      </c>
      <c r="B66" s="39" t="s">
        <v>1088</v>
      </c>
    </row>
    <row r="67" spans="1:2" x14ac:dyDescent="0.35">
      <c r="A67" s="2">
        <v>10975</v>
      </c>
      <c r="B67" s="39" t="s">
        <v>1089</v>
      </c>
    </row>
    <row r="68" spans="1:2" x14ac:dyDescent="0.35">
      <c r="A68" s="2">
        <v>10990</v>
      </c>
      <c r="B68" s="39" t="s">
        <v>1090</v>
      </c>
    </row>
    <row r="69" spans="1:2" x14ac:dyDescent="0.35">
      <c r="A69" s="2">
        <v>11005</v>
      </c>
      <c r="B69" s="39" t="s">
        <v>1091</v>
      </c>
    </row>
    <row r="70" spans="1:2" x14ac:dyDescent="0.35">
      <c r="A70" s="2">
        <v>11020</v>
      </c>
      <c r="B70" s="39" t="s">
        <v>1092</v>
      </c>
    </row>
    <row r="71" spans="1:2" x14ac:dyDescent="0.35">
      <c r="A71" s="2">
        <v>11035</v>
      </c>
      <c r="B71" s="39" t="s">
        <v>1093</v>
      </c>
    </row>
    <row r="72" spans="1:2" x14ac:dyDescent="0.35">
      <c r="A72" s="2">
        <v>11050</v>
      </c>
      <c r="B72" s="39" t="s">
        <v>1094</v>
      </c>
    </row>
    <row r="73" spans="1:2" x14ac:dyDescent="0.35">
      <c r="A73" s="2">
        <v>11065</v>
      </c>
      <c r="B73" s="39" t="s">
        <v>1095</v>
      </c>
    </row>
    <row r="74" spans="1:2" x14ac:dyDescent="0.35">
      <c r="A74" s="2">
        <v>11080</v>
      </c>
      <c r="B74" s="39" t="s">
        <v>1096</v>
      </c>
    </row>
    <row r="75" spans="1:2" x14ac:dyDescent="0.35">
      <c r="A75" s="2">
        <v>11095</v>
      </c>
      <c r="B75" s="39" t="s">
        <v>1097</v>
      </c>
    </row>
    <row r="76" spans="1:2" x14ac:dyDescent="0.35">
      <c r="A76" s="2">
        <v>11110</v>
      </c>
      <c r="B76" s="39" t="s">
        <v>1098</v>
      </c>
    </row>
    <row r="77" spans="1:2" x14ac:dyDescent="0.35">
      <c r="A77" s="2">
        <v>11125</v>
      </c>
      <c r="B77" s="39" t="s">
        <v>1099</v>
      </c>
    </row>
    <row r="78" spans="1:2" x14ac:dyDescent="0.35">
      <c r="A78" s="2">
        <v>11140</v>
      </c>
      <c r="B78" s="39" t="s">
        <v>1100</v>
      </c>
    </row>
    <row r="79" spans="1:2" x14ac:dyDescent="0.35">
      <c r="A79" s="2">
        <v>11155</v>
      </c>
      <c r="B79" s="39" t="s">
        <v>1101</v>
      </c>
    </row>
    <row r="80" spans="1:2" x14ac:dyDescent="0.35">
      <c r="A80" s="2">
        <v>11170</v>
      </c>
      <c r="B80" s="39" t="s">
        <v>1102</v>
      </c>
    </row>
    <row r="81" spans="1:2" x14ac:dyDescent="0.35">
      <c r="A81" s="2">
        <v>11185</v>
      </c>
      <c r="B81" s="39" t="s">
        <v>1103</v>
      </c>
    </row>
    <row r="82" spans="1:2" x14ac:dyDescent="0.35">
      <c r="A82" s="2">
        <v>11200</v>
      </c>
      <c r="B82" s="39" t="s">
        <v>1104</v>
      </c>
    </row>
    <row r="83" spans="1:2" x14ac:dyDescent="0.35">
      <c r="A83" s="2">
        <v>11215</v>
      </c>
      <c r="B83" s="39" t="s">
        <v>1105</v>
      </c>
    </row>
    <row r="84" spans="1:2" x14ac:dyDescent="0.35">
      <c r="A84" s="2">
        <v>11230</v>
      </c>
      <c r="B84" s="39" t="s">
        <v>1106</v>
      </c>
    </row>
    <row r="85" spans="1:2" x14ac:dyDescent="0.35">
      <c r="A85" s="2">
        <v>11245</v>
      </c>
      <c r="B85" s="39" t="s">
        <v>1107</v>
      </c>
    </row>
    <row r="86" spans="1:2" x14ac:dyDescent="0.35">
      <c r="A86" s="2">
        <v>11260</v>
      </c>
      <c r="B86" s="39" t="s">
        <v>1108</v>
      </c>
    </row>
    <row r="87" spans="1:2" x14ac:dyDescent="0.35">
      <c r="A87" s="2">
        <v>11275</v>
      </c>
      <c r="B87" s="39" t="s">
        <v>1109</v>
      </c>
    </row>
    <row r="88" spans="1:2" x14ac:dyDescent="0.35">
      <c r="A88" s="2">
        <v>11290</v>
      </c>
      <c r="B88" s="39" t="s">
        <v>1110</v>
      </c>
    </row>
    <row r="89" spans="1:2" x14ac:dyDescent="0.35">
      <c r="A89" s="2">
        <v>11305</v>
      </c>
      <c r="B89" s="39" t="s">
        <v>1111</v>
      </c>
    </row>
    <row r="90" spans="1:2" x14ac:dyDescent="0.35">
      <c r="A90" s="2">
        <v>11320</v>
      </c>
      <c r="B90" s="39" t="s">
        <v>1112</v>
      </c>
    </row>
    <row r="91" spans="1:2" x14ac:dyDescent="0.35">
      <c r="A91" s="2">
        <v>11335</v>
      </c>
      <c r="B91" s="39" t="s">
        <v>1113</v>
      </c>
    </row>
    <row r="92" spans="1:2" x14ac:dyDescent="0.35">
      <c r="A92" s="2">
        <v>11350</v>
      </c>
      <c r="B92" s="39" t="s">
        <v>1114</v>
      </c>
    </row>
    <row r="93" spans="1:2" x14ac:dyDescent="0.35">
      <c r="A93" s="2">
        <v>11365</v>
      </c>
      <c r="B93" s="39" t="s">
        <v>1115</v>
      </c>
    </row>
    <row r="94" spans="1:2" x14ac:dyDescent="0.35">
      <c r="A94" s="2">
        <v>11380</v>
      </c>
      <c r="B94" s="39" t="s">
        <v>1116</v>
      </c>
    </row>
    <row r="95" spans="1:2" x14ac:dyDescent="0.35">
      <c r="A95" s="2">
        <v>11395</v>
      </c>
      <c r="B95" s="39" t="s">
        <v>1117</v>
      </c>
    </row>
    <row r="96" spans="1:2" x14ac:dyDescent="0.35">
      <c r="A96" s="2">
        <v>11410</v>
      </c>
      <c r="B96" s="39" t="s">
        <v>1118</v>
      </c>
    </row>
    <row r="97" spans="1:2" x14ac:dyDescent="0.35">
      <c r="A97" s="2">
        <v>11425</v>
      </c>
      <c r="B97" s="39" t="s">
        <v>1119</v>
      </c>
    </row>
    <row r="98" spans="1:2" x14ac:dyDescent="0.35">
      <c r="A98" s="2">
        <v>11440</v>
      </c>
      <c r="B98" s="39" t="s">
        <v>1120</v>
      </c>
    </row>
    <row r="99" spans="1:2" x14ac:dyDescent="0.35">
      <c r="A99" s="2">
        <v>11455</v>
      </c>
      <c r="B99" s="39" t="s">
        <v>1121</v>
      </c>
    </row>
    <row r="100" spans="1:2" x14ac:dyDescent="0.35">
      <c r="A100" s="2">
        <v>11470</v>
      </c>
      <c r="B100" s="39" t="s">
        <v>1122</v>
      </c>
    </row>
    <row r="101" spans="1:2" x14ac:dyDescent="0.35">
      <c r="A101" s="2">
        <v>11485</v>
      </c>
      <c r="B101" s="39" t="s">
        <v>1123</v>
      </c>
    </row>
    <row r="102" spans="1:2" x14ac:dyDescent="0.35">
      <c r="A102" s="2">
        <v>11500</v>
      </c>
      <c r="B102" s="39" t="s">
        <v>1124</v>
      </c>
    </row>
    <row r="103" spans="1:2" x14ac:dyDescent="0.35">
      <c r="A103" s="2">
        <v>11515</v>
      </c>
      <c r="B103" s="39" t="s">
        <v>1125</v>
      </c>
    </row>
    <row r="104" spans="1:2" x14ac:dyDescent="0.35">
      <c r="A104" s="2">
        <v>11530</v>
      </c>
      <c r="B104" s="39" t="s">
        <v>1126</v>
      </c>
    </row>
    <row r="105" spans="1:2" x14ac:dyDescent="0.35">
      <c r="A105" s="2">
        <v>11545</v>
      </c>
      <c r="B105" s="39" t="s">
        <v>1127</v>
      </c>
    </row>
    <row r="106" spans="1:2" x14ac:dyDescent="0.35">
      <c r="A106" s="2">
        <v>11560</v>
      </c>
      <c r="B106" s="39" t="s">
        <v>1128</v>
      </c>
    </row>
    <row r="107" spans="1:2" x14ac:dyDescent="0.35">
      <c r="A107" s="2">
        <v>11575</v>
      </c>
      <c r="B107" s="39" t="s">
        <v>1129</v>
      </c>
    </row>
    <row r="108" spans="1:2" x14ac:dyDescent="0.35">
      <c r="A108" s="2">
        <v>11590</v>
      </c>
      <c r="B108" s="39" t="s">
        <v>1130</v>
      </c>
    </row>
    <row r="109" spans="1:2" x14ac:dyDescent="0.35">
      <c r="A109" s="2">
        <v>11605</v>
      </c>
      <c r="B109" s="39" t="s">
        <v>1131</v>
      </c>
    </row>
    <row r="110" spans="1:2" x14ac:dyDescent="0.35">
      <c r="A110" s="2">
        <v>11620</v>
      </c>
      <c r="B110" s="39" t="s">
        <v>1132</v>
      </c>
    </row>
    <row r="111" spans="1:2" x14ac:dyDescent="0.35">
      <c r="A111" s="2">
        <v>11635</v>
      </c>
      <c r="B111" s="39" t="s">
        <v>1133</v>
      </c>
    </row>
    <row r="112" spans="1:2" x14ac:dyDescent="0.35">
      <c r="A112" s="2">
        <v>11650</v>
      </c>
      <c r="B112" s="39" t="s">
        <v>1134</v>
      </c>
    </row>
    <row r="113" spans="1:2" x14ac:dyDescent="0.35">
      <c r="A113" s="2">
        <v>11665</v>
      </c>
      <c r="B113" s="39" t="s">
        <v>1135</v>
      </c>
    </row>
    <row r="114" spans="1:2" x14ac:dyDescent="0.35">
      <c r="A114" s="2">
        <v>11680</v>
      </c>
      <c r="B114" s="39" t="s">
        <v>1136</v>
      </c>
    </row>
    <row r="115" spans="1:2" x14ac:dyDescent="0.35">
      <c r="A115" s="2">
        <v>11695</v>
      </c>
      <c r="B115" s="39" t="s">
        <v>1137</v>
      </c>
    </row>
    <row r="116" spans="1:2" x14ac:dyDescent="0.35">
      <c r="A116" s="2">
        <v>11710</v>
      </c>
      <c r="B116" s="39" t="s">
        <v>1138</v>
      </c>
    </row>
    <row r="117" spans="1:2" x14ac:dyDescent="0.35">
      <c r="A117" s="2">
        <v>11725</v>
      </c>
      <c r="B117" s="39" t="s">
        <v>1139</v>
      </c>
    </row>
    <row r="118" spans="1:2" x14ac:dyDescent="0.35">
      <c r="A118" s="2">
        <v>11740</v>
      </c>
      <c r="B118" s="39" t="s">
        <v>1140</v>
      </c>
    </row>
    <row r="119" spans="1:2" x14ac:dyDescent="0.35">
      <c r="A119" s="2">
        <v>11755</v>
      </c>
      <c r="B119" s="39" t="s">
        <v>1141</v>
      </c>
    </row>
    <row r="120" spans="1:2" x14ac:dyDescent="0.35">
      <c r="A120" s="2">
        <v>11770</v>
      </c>
      <c r="B120" s="39" t="s">
        <v>1142</v>
      </c>
    </row>
    <row r="121" spans="1:2" x14ac:dyDescent="0.35">
      <c r="A121" s="2">
        <v>11785</v>
      </c>
      <c r="B121" s="39" t="s">
        <v>1143</v>
      </c>
    </row>
    <row r="122" spans="1:2" x14ac:dyDescent="0.35">
      <c r="A122" s="2">
        <v>11800</v>
      </c>
      <c r="B122" s="39" t="s">
        <v>1144</v>
      </c>
    </row>
    <row r="123" spans="1:2" x14ac:dyDescent="0.35">
      <c r="A123" s="2">
        <v>11815</v>
      </c>
      <c r="B123" s="39" t="s">
        <v>1145</v>
      </c>
    </row>
    <row r="124" spans="1:2" x14ac:dyDescent="0.35">
      <c r="A124" s="2">
        <v>11830</v>
      </c>
      <c r="B124" s="39" t="s">
        <v>1146</v>
      </c>
    </row>
    <row r="125" spans="1:2" x14ac:dyDescent="0.35">
      <c r="A125" s="2">
        <v>11845</v>
      </c>
      <c r="B125" s="39" t="s">
        <v>1147</v>
      </c>
    </row>
    <row r="126" spans="1:2" x14ac:dyDescent="0.35">
      <c r="A126" s="2">
        <v>11860</v>
      </c>
      <c r="B126" s="39" t="s">
        <v>1148</v>
      </c>
    </row>
    <row r="127" spans="1:2" x14ac:dyDescent="0.35">
      <c r="A127" s="2">
        <v>11875</v>
      </c>
      <c r="B127" s="39" t="s">
        <v>1149</v>
      </c>
    </row>
    <row r="128" spans="1:2" x14ac:dyDescent="0.35">
      <c r="A128" s="2">
        <v>11890</v>
      </c>
      <c r="B128" s="39" t="s">
        <v>1150</v>
      </c>
    </row>
    <row r="129" spans="1:2" x14ac:dyDescent="0.35">
      <c r="A129" s="2">
        <v>11905</v>
      </c>
      <c r="B129" s="39" t="s">
        <v>1151</v>
      </c>
    </row>
    <row r="130" spans="1:2" x14ac:dyDescent="0.35">
      <c r="A130" s="2">
        <v>11920</v>
      </c>
      <c r="B130" s="39" t="s">
        <v>1152</v>
      </c>
    </row>
    <row r="131" spans="1:2" x14ac:dyDescent="0.35">
      <c r="A131" s="2">
        <v>11935</v>
      </c>
      <c r="B131" s="39" t="s">
        <v>1153</v>
      </c>
    </row>
    <row r="132" spans="1:2" x14ac:dyDescent="0.35">
      <c r="A132" s="2">
        <v>11950</v>
      </c>
      <c r="B132" s="39" t="s">
        <v>1154</v>
      </c>
    </row>
    <row r="133" spans="1:2" x14ac:dyDescent="0.35">
      <c r="A133" s="2">
        <v>11965</v>
      </c>
      <c r="B133" s="39" t="s">
        <v>1155</v>
      </c>
    </row>
    <row r="134" spans="1:2" x14ac:dyDescent="0.35">
      <c r="A134" s="2">
        <v>11980</v>
      </c>
      <c r="B134" s="39" t="s">
        <v>1156</v>
      </c>
    </row>
    <row r="135" spans="1:2" x14ac:dyDescent="0.35">
      <c r="A135" s="2">
        <v>11995</v>
      </c>
      <c r="B135" s="39" t="s">
        <v>1157</v>
      </c>
    </row>
    <row r="136" spans="1:2" x14ac:dyDescent="0.35">
      <c r="A136" s="2">
        <v>12010</v>
      </c>
      <c r="B136" s="39" t="s">
        <v>1158</v>
      </c>
    </row>
    <row r="137" spans="1:2" x14ac:dyDescent="0.35">
      <c r="A137" s="2">
        <v>12025</v>
      </c>
      <c r="B137" s="39" t="s">
        <v>1159</v>
      </c>
    </row>
    <row r="138" spans="1:2" x14ac:dyDescent="0.35">
      <c r="A138" s="2">
        <v>12040</v>
      </c>
      <c r="B138" s="39" t="s">
        <v>1160</v>
      </c>
    </row>
    <row r="139" spans="1:2" x14ac:dyDescent="0.35">
      <c r="A139" s="2">
        <v>12055</v>
      </c>
      <c r="B139" s="39" t="s">
        <v>1161</v>
      </c>
    </row>
    <row r="140" spans="1:2" x14ac:dyDescent="0.35">
      <c r="A140" s="2">
        <v>12070</v>
      </c>
      <c r="B140" s="39" t="s">
        <v>1162</v>
      </c>
    </row>
    <row r="141" spans="1:2" x14ac:dyDescent="0.35">
      <c r="A141" s="2">
        <v>12085</v>
      </c>
      <c r="B141" s="39" t="s">
        <v>1163</v>
      </c>
    </row>
    <row r="142" spans="1:2" x14ac:dyDescent="0.35">
      <c r="A142" s="2">
        <v>12100</v>
      </c>
      <c r="B142" s="39" t="s">
        <v>1164</v>
      </c>
    </row>
    <row r="143" spans="1:2" x14ac:dyDescent="0.35">
      <c r="A143" s="2">
        <v>12115</v>
      </c>
      <c r="B143" s="39" t="s">
        <v>1165</v>
      </c>
    </row>
    <row r="144" spans="1:2" x14ac:dyDescent="0.35">
      <c r="A144" s="2">
        <v>12130</v>
      </c>
      <c r="B144" s="39" t="s">
        <v>1166</v>
      </c>
    </row>
    <row r="145" spans="1:2" x14ac:dyDescent="0.35">
      <c r="A145" s="2">
        <v>12145</v>
      </c>
      <c r="B145" s="39" t="s">
        <v>1167</v>
      </c>
    </row>
    <row r="146" spans="1:2" x14ac:dyDescent="0.35">
      <c r="A146" s="2">
        <v>12160</v>
      </c>
      <c r="B146" s="39" t="s">
        <v>1168</v>
      </c>
    </row>
    <row r="147" spans="1:2" x14ac:dyDescent="0.35">
      <c r="A147" s="2">
        <v>12175</v>
      </c>
      <c r="B147" s="39" t="s">
        <v>1169</v>
      </c>
    </row>
    <row r="148" spans="1:2" x14ac:dyDescent="0.35">
      <c r="A148" s="2">
        <v>12190</v>
      </c>
      <c r="B148" s="39" t="s">
        <v>1170</v>
      </c>
    </row>
    <row r="149" spans="1:2" x14ac:dyDescent="0.35">
      <c r="A149" s="2">
        <v>12205</v>
      </c>
      <c r="B149" s="39" t="s">
        <v>1171</v>
      </c>
    </row>
    <row r="150" spans="1:2" x14ac:dyDescent="0.35">
      <c r="A150" s="2">
        <v>12220</v>
      </c>
      <c r="B150" s="39" t="s">
        <v>1172</v>
      </c>
    </row>
    <row r="151" spans="1:2" x14ac:dyDescent="0.35">
      <c r="A151" s="2">
        <v>12235</v>
      </c>
      <c r="B151" s="39" t="s">
        <v>1173</v>
      </c>
    </row>
    <row r="152" spans="1:2" x14ac:dyDescent="0.35">
      <c r="A152" s="2">
        <v>12250</v>
      </c>
      <c r="B152" s="39" t="s">
        <v>1174</v>
      </c>
    </row>
    <row r="153" spans="1:2" x14ac:dyDescent="0.35">
      <c r="A153" s="2">
        <v>12265</v>
      </c>
      <c r="B153" s="39" t="s">
        <v>1175</v>
      </c>
    </row>
    <row r="154" spans="1:2" x14ac:dyDescent="0.35">
      <c r="A154" s="2">
        <v>12280</v>
      </c>
      <c r="B154" s="39" t="s">
        <v>1176</v>
      </c>
    </row>
    <row r="155" spans="1:2" x14ac:dyDescent="0.35">
      <c r="A155" s="2">
        <v>12295</v>
      </c>
      <c r="B155" s="39" t="s">
        <v>1177</v>
      </c>
    </row>
    <row r="156" spans="1:2" x14ac:dyDescent="0.35">
      <c r="A156" s="2">
        <v>12310</v>
      </c>
      <c r="B156" s="39" t="s">
        <v>1178</v>
      </c>
    </row>
    <row r="157" spans="1:2" x14ac:dyDescent="0.35">
      <c r="A157" s="2">
        <v>12325</v>
      </c>
      <c r="B157" s="39" t="s">
        <v>1179</v>
      </c>
    </row>
    <row r="158" spans="1:2" x14ac:dyDescent="0.35">
      <c r="A158" s="2">
        <v>12340</v>
      </c>
      <c r="B158" s="39" t="s">
        <v>1180</v>
      </c>
    </row>
    <row r="159" spans="1:2" x14ac:dyDescent="0.35">
      <c r="A159" s="2">
        <v>12355</v>
      </c>
      <c r="B159" s="39" t="s">
        <v>1181</v>
      </c>
    </row>
    <row r="160" spans="1:2" x14ac:dyDescent="0.35">
      <c r="A160" s="2">
        <v>12370</v>
      </c>
      <c r="B160" s="39" t="s">
        <v>1182</v>
      </c>
    </row>
    <row r="161" spans="1:2" x14ac:dyDescent="0.35">
      <c r="A161" s="2">
        <v>12385</v>
      </c>
      <c r="B161" s="39" t="s">
        <v>1183</v>
      </c>
    </row>
    <row r="162" spans="1:2" x14ac:dyDescent="0.35">
      <c r="A162" s="2">
        <v>12400</v>
      </c>
      <c r="B162" s="39" t="s">
        <v>1184</v>
      </c>
    </row>
    <row r="163" spans="1:2" x14ac:dyDescent="0.35">
      <c r="A163" s="2">
        <v>12415</v>
      </c>
      <c r="B163" s="39" t="s">
        <v>1185</v>
      </c>
    </row>
    <row r="164" spans="1:2" x14ac:dyDescent="0.35">
      <c r="A164" s="2">
        <v>12430</v>
      </c>
      <c r="B164" s="39" t="s">
        <v>1186</v>
      </c>
    </row>
    <row r="165" spans="1:2" x14ac:dyDescent="0.35">
      <c r="A165" s="2">
        <v>12445</v>
      </c>
      <c r="B165" s="39" t="s">
        <v>1187</v>
      </c>
    </row>
    <row r="166" spans="1:2" x14ac:dyDescent="0.35">
      <c r="A166" s="2">
        <v>12460</v>
      </c>
      <c r="B166" s="39" t="s">
        <v>1188</v>
      </c>
    </row>
    <row r="167" spans="1:2" x14ac:dyDescent="0.35">
      <c r="A167" s="2">
        <v>12475</v>
      </c>
      <c r="B167" s="39" t="s">
        <v>1189</v>
      </c>
    </row>
    <row r="168" spans="1:2" x14ac:dyDescent="0.35">
      <c r="A168" s="2">
        <v>12490</v>
      </c>
      <c r="B168" s="39" t="s">
        <v>1190</v>
      </c>
    </row>
    <row r="169" spans="1:2" x14ac:dyDescent="0.35">
      <c r="A169" s="2">
        <v>12505</v>
      </c>
      <c r="B169" s="39" t="s">
        <v>1191</v>
      </c>
    </row>
    <row r="170" spans="1:2" x14ac:dyDescent="0.35">
      <c r="A170" s="2">
        <v>12520</v>
      </c>
      <c r="B170" s="39" t="s">
        <v>1192</v>
      </c>
    </row>
    <row r="171" spans="1:2" x14ac:dyDescent="0.35">
      <c r="A171" s="2">
        <v>12535</v>
      </c>
      <c r="B171" s="39" t="s">
        <v>1193</v>
      </c>
    </row>
    <row r="172" spans="1:2" x14ac:dyDescent="0.35">
      <c r="A172" s="2">
        <v>12550</v>
      </c>
      <c r="B172" s="39" t="s">
        <v>1194</v>
      </c>
    </row>
    <row r="173" spans="1:2" x14ac:dyDescent="0.35">
      <c r="A173" s="2">
        <v>12565</v>
      </c>
      <c r="B173" s="39" t="s">
        <v>1195</v>
      </c>
    </row>
    <row r="174" spans="1:2" x14ac:dyDescent="0.35">
      <c r="A174" s="2">
        <v>12580</v>
      </c>
      <c r="B174" s="39" t="s">
        <v>1196</v>
      </c>
    </row>
    <row r="175" spans="1:2" x14ac:dyDescent="0.35">
      <c r="A175" s="2">
        <v>12595</v>
      </c>
      <c r="B175" s="39" t="s">
        <v>1197</v>
      </c>
    </row>
    <row r="176" spans="1:2" x14ac:dyDescent="0.35">
      <c r="A176" s="2">
        <v>12610</v>
      </c>
      <c r="B176" s="39" t="s">
        <v>1198</v>
      </c>
    </row>
    <row r="177" spans="1:2" x14ac:dyDescent="0.35">
      <c r="A177" s="2">
        <v>12625</v>
      </c>
      <c r="B177" s="39" t="s">
        <v>1199</v>
      </c>
    </row>
    <row r="178" spans="1:2" x14ac:dyDescent="0.35">
      <c r="A178" s="2">
        <v>12640</v>
      </c>
      <c r="B178" s="39" t="s">
        <v>1200</v>
      </c>
    </row>
    <row r="179" spans="1:2" x14ac:dyDescent="0.35">
      <c r="A179" s="2">
        <v>12655</v>
      </c>
      <c r="B179" s="39" t="s">
        <v>1201</v>
      </c>
    </row>
    <row r="180" spans="1:2" x14ac:dyDescent="0.35">
      <c r="A180" s="2">
        <v>12670</v>
      </c>
      <c r="B180" s="39" t="s">
        <v>1202</v>
      </c>
    </row>
    <row r="181" spans="1:2" x14ac:dyDescent="0.35">
      <c r="A181" s="2">
        <v>12685</v>
      </c>
      <c r="B181" s="39" t="s">
        <v>1203</v>
      </c>
    </row>
    <row r="182" spans="1:2" x14ac:dyDescent="0.35">
      <c r="A182" s="2">
        <v>12700</v>
      </c>
      <c r="B182" s="39" t="s">
        <v>1204</v>
      </c>
    </row>
    <row r="183" spans="1:2" x14ac:dyDescent="0.35">
      <c r="A183" s="2">
        <v>12715</v>
      </c>
      <c r="B183" s="39" t="s">
        <v>1205</v>
      </c>
    </row>
    <row r="184" spans="1:2" x14ac:dyDescent="0.35">
      <c r="A184" s="2">
        <v>12730</v>
      </c>
      <c r="B184" s="39" t="s">
        <v>1206</v>
      </c>
    </row>
    <row r="185" spans="1:2" x14ac:dyDescent="0.35">
      <c r="A185" s="2">
        <v>12745</v>
      </c>
      <c r="B185" s="39" t="s">
        <v>1207</v>
      </c>
    </row>
    <row r="186" spans="1:2" x14ac:dyDescent="0.35">
      <c r="A186" s="2">
        <v>12760</v>
      </c>
      <c r="B186" s="39" t="s">
        <v>1208</v>
      </c>
    </row>
    <row r="187" spans="1:2" x14ac:dyDescent="0.35">
      <c r="A187" s="2">
        <v>12775</v>
      </c>
      <c r="B187" s="39" t="s">
        <v>1209</v>
      </c>
    </row>
    <row r="188" spans="1:2" x14ac:dyDescent="0.35">
      <c r="A188" s="2">
        <v>12790</v>
      </c>
      <c r="B188" s="39" t="s">
        <v>1210</v>
      </c>
    </row>
    <row r="189" spans="1:2" x14ac:dyDescent="0.35">
      <c r="A189" s="2">
        <v>12805</v>
      </c>
      <c r="B189" s="39" t="s">
        <v>1211</v>
      </c>
    </row>
    <row r="190" spans="1:2" x14ac:dyDescent="0.35">
      <c r="A190" s="2">
        <v>12820</v>
      </c>
      <c r="B190" s="39" t="s">
        <v>1212</v>
      </c>
    </row>
    <row r="191" spans="1:2" x14ac:dyDescent="0.35">
      <c r="A191" s="2">
        <v>12835</v>
      </c>
      <c r="B191" s="39" t="s">
        <v>1213</v>
      </c>
    </row>
    <row r="192" spans="1:2" x14ac:dyDescent="0.35">
      <c r="A192" s="2">
        <v>12850</v>
      </c>
      <c r="B192" s="39" t="s">
        <v>1214</v>
      </c>
    </row>
    <row r="193" spans="1:2" x14ac:dyDescent="0.35">
      <c r="A193" s="2">
        <v>12865</v>
      </c>
      <c r="B193" s="39" t="s">
        <v>1215</v>
      </c>
    </row>
    <row r="194" spans="1:2" x14ac:dyDescent="0.35">
      <c r="A194" s="2">
        <v>12880</v>
      </c>
      <c r="B194" s="39" t="s">
        <v>1216</v>
      </c>
    </row>
    <row r="195" spans="1:2" x14ac:dyDescent="0.35">
      <c r="A195" s="2">
        <v>12895</v>
      </c>
      <c r="B195" s="39" t="s">
        <v>1217</v>
      </c>
    </row>
    <row r="196" spans="1:2" x14ac:dyDescent="0.35">
      <c r="A196" s="2">
        <v>12910</v>
      </c>
      <c r="B196" s="39" t="s">
        <v>1218</v>
      </c>
    </row>
    <row r="197" spans="1:2" x14ac:dyDescent="0.35">
      <c r="A197" s="2">
        <v>12925</v>
      </c>
      <c r="B197" s="39" t="s">
        <v>1219</v>
      </c>
    </row>
    <row r="198" spans="1:2" x14ac:dyDescent="0.35">
      <c r="A198" s="2">
        <v>12940</v>
      </c>
      <c r="B198" s="39" t="s">
        <v>1220</v>
      </c>
    </row>
    <row r="199" spans="1:2" x14ac:dyDescent="0.35">
      <c r="A199" s="2">
        <v>12955</v>
      </c>
      <c r="B199" s="39" t="s">
        <v>1221</v>
      </c>
    </row>
    <row r="200" spans="1:2" x14ac:dyDescent="0.35">
      <c r="A200" s="2">
        <v>12970</v>
      </c>
      <c r="B200" s="39" t="s">
        <v>1222</v>
      </c>
    </row>
    <row r="201" spans="1:2" x14ac:dyDescent="0.35">
      <c r="A201" s="2">
        <v>12985</v>
      </c>
      <c r="B201" s="39" t="s">
        <v>1223</v>
      </c>
    </row>
    <row r="202" spans="1:2" x14ac:dyDescent="0.35">
      <c r="A202" s="2">
        <v>13000</v>
      </c>
      <c r="B202" s="39" t="s">
        <v>1224</v>
      </c>
    </row>
    <row r="203" spans="1:2" x14ac:dyDescent="0.35">
      <c r="A203" s="2">
        <v>13015</v>
      </c>
      <c r="B203" s="39" t="s">
        <v>1225</v>
      </c>
    </row>
    <row r="204" spans="1:2" x14ac:dyDescent="0.35">
      <c r="A204" s="2">
        <v>13030</v>
      </c>
      <c r="B204" s="39" t="s">
        <v>1226</v>
      </c>
    </row>
    <row r="205" spans="1:2" x14ac:dyDescent="0.35">
      <c r="A205" s="2">
        <v>13045</v>
      </c>
      <c r="B205" s="39" t="s">
        <v>1227</v>
      </c>
    </row>
    <row r="206" spans="1:2" x14ac:dyDescent="0.35">
      <c r="A206" s="2">
        <v>13060</v>
      </c>
      <c r="B206" s="39" t="s">
        <v>1228</v>
      </c>
    </row>
    <row r="207" spans="1:2" x14ac:dyDescent="0.35">
      <c r="A207" s="2">
        <v>13075</v>
      </c>
      <c r="B207" s="39" t="s">
        <v>1229</v>
      </c>
    </row>
    <row r="208" spans="1:2" x14ac:dyDescent="0.35">
      <c r="A208" s="2">
        <v>13090</v>
      </c>
      <c r="B208" s="39" t="s">
        <v>1230</v>
      </c>
    </row>
    <row r="209" spans="1:2" x14ac:dyDescent="0.35">
      <c r="A209" s="2">
        <v>13105</v>
      </c>
      <c r="B209" s="39" t="s">
        <v>1231</v>
      </c>
    </row>
    <row r="210" spans="1:2" x14ac:dyDescent="0.35">
      <c r="A210" s="2">
        <v>13120</v>
      </c>
      <c r="B210" s="39" t="s">
        <v>1232</v>
      </c>
    </row>
    <row r="211" spans="1:2" x14ac:dyDescent="0.35">
      <c r="A211" s="2">
        <v>13135</v>
      </c>
      <c r="B211" s="39" t="s">
        <v>1233</v>
      </c>
    </row>
    <row r="212" spans="1:2" x14ac:dyDescent="0.35">
      <c r="A212" s="2">
        <v>13150</v>
      </c>
      <c r="B212" s="39" t="s">
        <v>1234</v>
      </c>
    </row>
    <row r="213" spans="1:2" x14ac:dyDescent="0.35">
      <c r="A213" s="2">
        <v>13165</v>
      </c>
      <c r="B213" s="39" t="s">
        <v>1235</v>
      </c>
    </row>
    <row r="214" spans="1:2" x14ac:dyDescent="0.35">
      <c r="A214" s="2">
        <v>13180</v>
      </c>
      <c r="B214" s="39" t="s">
        <v>1236</v>
      </c>
    </row>
    <row r="215" spans="1:2" x14ac:dyDescent="0.35">
      <c r="A215" s="2">
        <v>13195</v>
      </c>
      <c r="B215" s="39" t="s">
        <v>1237</v>
      </c>
    </row>
    <row r="216" spans="1:2" x14ac:dyDescent="0.35">
      <c r="A216" s="2">
        <v>13210</v>
      </c>
      <c r="B216" s="39" t="s">
        <v>1238</v>
      </c>
    </row>
    <row r="217" spans="1:2" x14ac:dyDescent="0.35">
      <c r="A217" s="2">
        <v>13225</v>
      </c>
      <c r="B217" s="39" t="s">
        <v>1239</v>
      </c>
    </row>
    <row r="218" spans="1:2" x14ac:dyDescent="0.35">
      <c r="A218" s="2">
        <v>13240</v>
      </c>
      <c r="B218" s="39" t="s">
        <v>1240</v>
      </c>
    </row>
    <row r="219" spans="1:2" x14ac:dyDescent="0.35">
      <c r="A219" s="2">
        <v>13255</v>
      </c>
      <c r="B219" s="39" t="s">
        <v>1241</v>
      </c>
    </row>
    <row r="220" spans="1:2" x14ac:dyDescent="0.35">
      <c r="A220" s="2">
        <v>13270</v>
      </c>
      <c r="B220" s="39" t="s">
        <v>1242</v>
      </c>
    </row>
    <row r="221" spans="1:2" x14ac:dyDescent="0.35">
      <c r="A221" s="2">
        <v>13285</v>
      </c>
      <c r="B221" s="39" t="s">
        <v>1243</v>
      </c>
    </row>
    <row r="222" spans="1:2" x14ac:dyDescent="0.35">
      <c r="A222" s="2">
        <v>13300</v>
      </c>
      <c r="B222" s="39" t="s">
        <v>1244</v>
      </c>
    </row>
    <row r="223" spans="1:2" x14ac:dyDescent="0.35">
      <c r="A223" s="2">
        <v>13315</v>
      </c>
      <c r="B223" s="39" t="s">
        <v>1245</v>
      </c>
    </row>
    <row r="224" spans="1:2" x14ac:dyDescent="0.35">
      <c r="A224" s="2">
        <v>13330</v>
      </c>
      <c r="B224" s="39" t="s">
        <v>1246</v>
      </c>
    </row>
    <row r="225" spans="1:2" x14ac:dyDescent="0.35">
      <c r="A225" s="2">
        <v>13345</v>
      </c>
      <c r="B225" s="39" t="s">
        <v>1247</v>
      </c>
    </row>
    <row r="226" spans="1:2" x14ac:dyDescent="0.35">
      <c r="A226" s="2">
        <v>13360</v>
      </c>
      <c r="B226" s="39" t="s">
        <v>1248</v>
      </c>
    </row>
    <row r="227" spans="1:2" x14ac:dyDescent="0.35">
      <c r="A227" s="2">
        <v>13375</v>
      </c>
      <c r="B227" s="39" t="s">
        <v>1249</v>
      </c>
    </row>
    <row r="228" spans="1:2" x14ac:dyDescent="0.35">
      <c r="A228" s="2">
        <v>13390</v>
      </c>
      <c r="B228" s="39" t="s">
        <v>1250</v>
      </c>
    </row>
    <row r="229" spans="1:2" x14ac:dyDescent="0.35">
      <c r="A229" s="2">
        <v>13405</v>
      </c>
      <c r="B229" s="39" t="s">
        <v>1251</v>
      </c>
    </row>
    <row r="230" spans="1:2" x14ac:dyDescent="0.35">
      <c r="A230" s="2">
        <v>13420</v>
      </c>
      <c r="B230" s="39" t="s">
        <v>1252</v>
      </c>
    </row>
    <row r="231" spans="1:2" x14ac:dyDescent="0.35">
      <c r="A231" s="2">
        <v>13435</v>
      </c>
      <c r="B231" s="39" t="s">
        <v>1253</v>
      </c>
    </row>
    <row r="232" spans="1:2" x14ac:dyDescent="0.35">
      <c r="A232" s="2">
        <v>13450</v>
      </c>
      <c r="B232" s="39" t="s">
        <v>1254</v>
      </c>
    </row>
    <row r="233" spans="1:2" x14ac:dyDescent="0.35">
      <c r="A233" s="2">
        <v>13465</v>
      </c>
      <c r="B233" s="39" t="s">
        <v>1255</v>
      </c>
    </row>
    <row r="234" spans="1:2" x14ac:dyDescent="0.35">
      <c r="A234" s="2">
        <v>13480</v>
      </c>
      <c r="B234" s="39" t="s">
        <v>1256</v>
      </c>
    </row>
    <row r="235" spans="1:2" x14ac:dyDescent="0.35">
      <c r="A235" s="2">
        <v>13495</v>
      </c>
      <c r="B235" s="39" t="s">
        <v>1257</v>
      </c>
    </row>
    <row r="236" spans="1:2" x14ac:dyDescent="0.35">
      <c r="A236" s="2">
        <v>13510</v>
      </c>
      <c r="B236" s="39" t="s">
        <v>1258</v>
      </c>
    </row>
    <row r="237" spans="1:2" x14ac:dyDescent="0.35">
      <c r="A237" s="2">
        <v>13525</v>
      </c>
      <c r="B237" s="39" t="s">
        <v>1259</v>
      </c>
    </row>
    <row r="238" spans="1:2" x14ac:dyDescent="0.35">
      <c r="A238" s="2">
        <v>13540</v>
      </c>
      <c r="B238" s="39" t="s">
        <v>1260</v>
      </c>
    </row>
    <row r="239" spans="1:2" x14ac:dyDescent="0.35">
      <c r="A239" s="2">
        <v>13555</v>
      </c>
      <c r="B239" s="39" t="s">
        <v>1261</v>
      </c>
    </row>
    <row r="240" spans="1:2" x14ac:dyDescent="0.35">
      <c r="A240" s="2">
        <v>13570</v>
      </c>
      <c r="B240" s="39" t="s">
        <v>1262</v>
      </c>
    </row>
    <row r="241" spans="1:2" x14ac:dyDescent="0.35">
      <c r="A241" s="2">
        <v>13585</v>
      </c>
      <c r="B241" s="39" t="s">
        <v>1263</v>
      </c>
    </row>
    <row r="242" spans="1:2" x14ac:dyDescent="0.35">
      <c r="A242" s="2">
        <v>13600</v>
      </c>
      <c r="B242" s="39" t="s">
        <v>1264</v>
      </c>
    </row>
    <row r="243" spans="1:2" x14ac:dyDescent="0.35">
      <c r="A243" s="2">
        <v>13615</v>
      </c>
      <c r="B243" s="39" t="s">
        <v>1265</v>
      </c>
    </row>
    <row r="244" spans="1:2" x14ac:dyDescent="0.35">
      <c r="A244" s="2">
        <v>13630</v>
      </c>
      <c r="B244" s="39" t="s">
        <v>1266</v>
      </c>
    </row>
    <row r="245" spans="1:2" x14ac:dyDescent="0.35">
      <c r="A245" s="2">
        <v>13645</v>
      </c>
      <c r="B245" s="39" t="s">
        <v>1267</v>
      </c>
    </row>
    <row r="246" spans="1:2" x14ac:dyDescent="0.35">
      <c r="A246" s="2">
        <v>13660</v>
      </c>
      <c r="B246" s="39" t="s">
        <v>1268</v>
      </c>
    </row>
    <row r="247" spans="1:2" x14ac:dyDescent="0.35">
      <c r="A247" s="2">
        <v>13675</v>
      </c>
      <c r="B247" s="39" t="s">
        <v>1269</v>
      </c>
    </row>
    <row r="248" spans="1:2" x14ac:dyDescent="0.35">
      <c r="A248" s="2">
        <v>13690</v>
      </c>
      <c r="B248" s="39" t="s">
        <v>1270</v>
      </c>
    </row>
    <row r="249" spans="1:2" x14ac:dyDescent="0.35">
      <c r="A249" s="2">
        <v>13705</v>
      </c>
      <c r="B249" s="39" t="s">
        <v>1271</v>
      </c>
    </row>
    <row r="250" spans="1:2" x14ac:dyDescent="0.35">
      <c r="A250" s="2">
        <v>13720</v>
      </c>
      <c r="B250" s="39" t="s">
        <v>1272</v>
      </c>
    </row>
    <row r="251" spans="1:2" x14ac:dyDescent="0.35">
      <c r="A251" s="2">
        <v>13735</v>
      </c>
      <c r="B251" s="39" t="s">
        <v>1273</v>
      </c>
    </row>
    <row r="252" spans="1:2" x14ac:dyDescent="0.35">
      <c r="A252" s="2">
        <v>13750</v>
      </c>
      <c r="B252" s="39" t="s">
        <v>1274</v>
      </c>
    </row>
    <row r="253" spans="1:2" x14ac:dyDescent="0.35">
      <c r="A253" s="2">
        <v>13765</v>
      </c>
      <c r="B253" s="39" t="s">
        <v>1275</v>
      </c>
    </row>
    <row r="254" spans="1:2" x14ac:dyDescent="0.35">
      <c r="A254" s="2">
        <v>13780</v>
      </c>
      <c r="B254" s="39" t="s">
        <v>1276</v>
      </c>
    </row>
    <row r="255" spans="1:2" x14ac:dyDescent="0.35">
      <c r="A255" s="2">
        <v>13795</v>
      </c>
      <c r="B255" s="39" t="s">
        <v>1277</v>
      </c>
    </row>
    <row r="256" spans="1:2" x14ac:dyDescent="0.35">
      <c r="A256" s="2">
        <v>13810</v>
      </c>
      <c r="B256" s="39" t="s">
        <v>1278</v>
      </c>
    </row>
    <row r="257" spans="1:2" x14ac:dyDescent="0.35">
      <c r="A257" s="2">
        <v>13825</v>
      </c>
      <c r="B257" s="39" t="s">
        <v>1279</v>
      </c>
    </row>
    <row r="258" spans="1:2" x14ac:dyDescent="0.35">
      <c r="A258" s="2">
        <v>13840</v>
      </c>
      <c r="B258" s="39" t="s">
        <v>1280</v>
      </c>
    </row>
    <row r="259" spans="1:2" x14ac:dyDescent="0.35">
      <c r="A259" s="2">
        <v>13855</v>
      </c>
      <c r="B259" s="39" t="s">
        <v>1281</v>
      </c>
    </row>
    <row r="260" spans="1:2" x14ac:dyDescent="0.35">
      <c r="A260" s="2">
        <v>13870</v>
      </c>
      <c r="B260" s="39" t="s">
        <v>1282</v>
      </c>
    </row>
    <row r="261" spans="1:2" x14ac:dyDescent="0.35">
      <c r="A261" s="2">
        <v>13885</v>
      </c>
      <c r="B261" s="39" t="s">
        <v>1283</v>
      </c>
    </row>
    <row r="262" spans="1:2" x14ac:dyDescent="0.35">
      <c r="A262" s="2">
        <v>13900</v>
      </c>
      <c r="B262" s="39" t="s">
        <v>1284</v>
      </c>
    </row>
    <row r="263" spans="1:2" x14ac:dyDescent="0.35">
      <c r="A263" s="2">
        <v>13915</v>
      </c>
      <c r="B263" s="39" t="s">
        <v>1285</v>
      </c>
    </row>
    <row r="264" spans="1:2" x14ac:dyDescent="0.35">
      <c r="A264" s="2">
        <v>13930</v>
      </c>
      <c r="B264" s="39" t="s">
        <v>1286</v>
      </c>
    </row>
    <row r="265" spans="1:2" x14ac:dyDescent="0.35">
      <c r="A265" s="2">
        <v>13945</v>
      </c>
      <c r="B265" s="39" t="s">
        <v>1287</v>
      </c>
    </row>
    <row r="266" spans="1:2" x14ac:dyDescent="0.35">
      <c r="A266" s="2">
        <v>13960</v>
      </c>
      <c r="B266" s="39" t="s">
        <v>1288</v>
      </c>
    </row>
    <row r="267" spans="1:2" x14ac:dyDescent="0.35">
      <c r="A267" s="2">
        <v>13975</v>
      </c>
      <c r="B267" s="39" t="s">
        <v>1289</v>
      </c>
    </row>
    <row r="268" spans="1:2" x14ac:dyDescent="0.35">
      <c r="A268" s="2">
        <v>13990</v>
      </c>
      <c r="B268" s="39" t="s">
        <v>1290</v>
      </c>
    </row>
    <row r="269" spans="1:2" x14ac:dyDescent="0.35">
      <c r="A269" s="2">
        <v>14005</v>
      </c>
      <c r="B269" s="39" t="s">
        <v>1291</v>
      </c>
    </row>
    <row r="270" spans="1:2" x14ac:dyDescent="0.35">
      <c r="A270" s="2">
        <v>14020</v>
      </c>
      <c r="B270" s="39" t="s">
        <v>1292</v>
      </c>
    </row>
    <row r="271" spans="1:2" x14ac:dyDescent="0.35">
      <c r="A271" s="2">
        <v>14035</v>
      </c>
      <c r="B271" s="39" t="s">
        <v>1293</v>
      </c>
    </row>
    <row r="272" spans="1:2" x14ac:dyDescent="0.35">
      <c r="A272" s="2">
        <v>14050</v>
      </c>
      <c r="B272" s="39" t="s">
        <v>1294</v>
      </c>
    </row>
    <row r="273" spans="1:2" x14ac:dyDescent="0.35">
      <c r="A273" s="2">
        <v>14065</v>
      </c>
      <c r="B273" s="39" t="s">
        <v>1295</v>
      </c>
    </row>
    <row r="274" spans="1:2" x14ac:dyDescent="0.35">
      <c r="A274" s="2">
        <v>14080</v>
      </c>
      <c r="B274" s="39" t="s">
        <v>1296</v>
      </c>
    </row>
    <row r="275" spans="1:2" x14ac:dyDescent="0.35">
      <c r="A275" s="2">
        <v>14095</v>
      </c>
      <c r="B275" s="39" t="s">
        <v>1297</v>
      </c>
    </row>
    <row r="276" spans="1:2" x14ac:dyDescent="0.35">
      <c r="A276" s="2">
        <v>14110</v>
      </c>
      <c r="B276" s="39" t="s">
        <v>1298</v>
      </c>
    </row>
    <row r="277" spans="1:2" x14ac:dyDescent="0.35">
      <c r="A277" s="2">
        <v>14125</v>
      </c>
      <c r="B277" s="39" t="s">
        <v>1299</v>
      </c>
    </row>
    <row r="278" spans="1:2" x14ac:dyDescent="0.35">
      <c r="A278" s="2">
        <v>14140</v>
      </c>
      <c r="B278" s="39" t="s">
        <v>1300</v>
      </c>
    </row>
    <row r="279" spans="1:2" x14ac:dyDescent="0.35">
      <c r="A279" s="2">
        <v>14155</v>
      </c>
      <c r="B279" s="39" t="s">
        <v>1301</v>
      </c>
    </row>
    <row r="280" spans="1:2" x14ac:dyDescent="0.35">
      <c r="A280" s="2">
        <v>14170</v>
      </c>
      <c r="B280" s="39" t="s">
        <v>1302</v>
      </c>
    </row>
    <row r="281" spans="1:2" x14ac:dyDescent="0.35">
      <c r="A281" s="2">
        <v>14185</v>
      </c>
      <c r="B281" s="39" t="s">
        <v>1303</v>
      </c>
    </row>
    <row r="282" spans="1:2" x14ac:dyDescent="0.35">
      <c r="A282" s="2">
        <v>14200</v>
      </c>
      <c r="B282" s="39" t="s">
        <v>1304</v>
      </c>
    </row>
    <row r="283" spans="1:2" x14ac:dyDescent="0.35">
      <c r="A283" s="2">
        <v>14215</v>
      </c>
      <c r="B283" s="39" t="s">
        <v>1305</v>
      </c>
    </row>
    <row r="284" spans="1:2" x14ac:dyDescent="0.35">
      <c r="A284" s="2">
        <v>14230</v>
      </c>
      <c r="B284" s="39" t="s">
        <v>1306</v>
      </c>
    </row>
    <row r="285" spans="1:2" x14ac:dyDescent="0.35">
      <c r="A285" s="2">
        <v>14245</v>
      </c>
      <c r="B285" s="39" t="s">
        <v>1307</v>
      </c>
    </row>
    <row r="286" spans="1:2" x14ac:dyDescent="0.35">
      <c r="A286" s="2">
        <v>14260</v>
      </c>
      <c r="B286" s="39" t="s">
        <v>1308</v>
      </c>
    </row>
    <row r="287" spans="1:2" x14ac:dyDescent="0.35">
      <c r="A287" s="2">
        <v>14275</v>
      </c>
      <c r="B287" s="39" t="s">
        <v>1309</v>
      </c>
    </row>
    <row r="288" spans="1:2" x14ac:dyDescent="0.35">
      <c r="A288" s="2">
        <v>14290</v>
      </c>
      <c r="B288" s="39" t="s">
        <v>1310</v>
      </c>
    </row>
    <row r="289" spans="1:2" x14ac:dyDescent="0.35">
      <c r="A289" s="2">
        <v>14305</v>
      </c>
      <c r="B289" s="39" t="s">
        <v>1311</v>
      </c>
    </row>
    <row r="290" spans="1:2" x14ac:dyDescent="0.35">
      <c r="A290" s="2">
        <v>14320</v>
      </c>
      <c r="B290" s="39" t="s">
        <v>1312</v>
      </c>
    </row>
    <row r="291" spans="1:2" x14ac:dyDescent="0.35">
      <c r="A291" s="2">
        <v>14335</v>
      </c>
      <c r="B291" s="39" t="s">
        <v>1313</v>
      </c>
    </row>
    <row r="292" spans="1:2" x14ac:dyDescent="0.35">
      <c r="A292" s="2">
        <v>14350</v>
      </c>
      <c r="B292" s="39" t="s">
        <v>1314</v>
      </c>
    </row>
    <row r="293" spans="1:2" x14ac:dyDescent="0.35">
      <c r="A293" s="2">
        <v>14365</v>
      </c>
      <c r="B293" s="39" t="s">
        <v>1315</v>
      </c>
    </row>
    <row r="294" spans="1:2" x14ac:dyDescent="0.35">
      <c r="A294" s="2">
        <v>14380</v>
      </c>
      <c r="B294" s="39" t="s">
        <v>1316</v>
      </c>
    </row>
    <row r="295" spans="1:2" x14ac:dyDescent="0.35">
      <c r="A295" s="2">
        <v>14395</v>
      </c>
      <c r="B295" s="39" t="s">
        <v>1317</v>
      </c>
    </row>
    <row r="296" spans="1:2" x14ac:dyDescent="0.35">
      <c r="A296" s="2">
        <v>14410</v>
      </c>
      <c r="B296" s="39" t="s">
        <v>1318</v>
      </c>
    </row>
    <row r="297" spans="1:2" x14ac:dyDescent="0.35">
      <c r="A297" s="2">
        <v>14425</v>
      </c>
      <c r="B297" s="39" t="s">
        <v>1319</v>
      </c>
    </row>
    <row r="298" spans="1:2" x14ac:dyDescent="0.35">
      <c r="A298" s="2">
        <v>14440</v>
      </c>
      <c r="B298" s="39" t="s">
        <v>1320</v>
      </c>
    </row>
    <row r="299" spans="1:2" x14ac:dyDescent="0.35">
      <c r="A299" s="2">
        <v>14455</v>
      </c>
      <c r="B299" s="39" t="s">
        <v>1321</v>
      </c>
    </row>
    <row r="300" spans="1:2" x14ac:dyDescent="0.35">
      <c r="A300" s="2">
        <v>14470</v>
      </c>
      <c r="B300" s="39" t="s">
        <v>1322</v>
      </c>
    </row>
    <row r="301" spans="1:2" x14ac:dyDescent="0.35">
      <c r="A301" s="2">
        <v>14485</v>
      </c>
      <c r="B301" s="39" t="s">
        <v>1323</v>
      </c>
    </row>
    <row r="302" spans="1:2" x14ac:dyDescent="0.35">
      <c r="A302" s="2">
        <v>14500</v>
      </c>
      <c r="B302" s="39" t="s">
        <v>1324</v>
      </c>
    </row>
    <row r="303" spans="1:2" x14ac:dyDescent="0.35">
      <c r="A303" s="2">
        <v>14515</v>
      </c>
      <c r="B303" s="39" t="s">
        <v>1325</v>
      </c>
    </row>
    <row r="304" spans="1:2" x14ac:dyDescent="0.35">
      <c r="A304" s="2">
        <v>14530</v>
      </c>
      <c r="B304" s="39" t="s">
        <v>1326</v>
      </c>
    </row>
    <row r="305" spans="1:2" x14ac:dyDescent="0.35">
      <c r="A305" s="2">
        <v>14545</v>
      </c>
      <c r="B305" s="39" t="s">
        <v>1327</v>
      </c>
    </row>
    <row r="306" spans="1:2" x14ac:dyDescent="0.35">
      <c r="A306" s="2">
        <v>14560</v>
      </c>
      <c r="B306" s="39" t="s">
        <v>1328</v>
      </c>
    </row>
    <row r="307" spans="1:2" x14ac:dyDescent="0.35">
      <c r="A307" s="2">
        <v>14575</v>
      </c>
      <c r="B307" s="39" t="s">
        <v>1329</v>
      </c>
    </row>
    <row r="308" spans="1:2" x14ac:dyDescent="0.35">
      <c r="A308" s="2">
        <v>14590</v>
      </c>
      <c r="B308" s="39" t="s">
        <v>1330</v>
      </c>
    </row>
    <row r="309" spans="1:2" x14ac:dyDescent="0.35">
      <c r="A309" s="2">
        <v>14605</v>
      </c>
      <c r="B309" s="39" t="s">
        <v>1331</v>
      </c>
    </row>
    <row r="310" spans="1:2" x14ac:dyDescent="0.35">
      <c r="A310" s="2">
        <v>14620</v>
      </c>
      <c r="B310" s="39" t="s">
        <v>1332</v>
      </c>
    </row>
    <row r="311" spans="1:2" x14ac:dyDescent="0.35">
      <c r="A311" s="2">
        <v>14635</v>
      </c>
      <c r="B311" s="39" t="s">
        <v>1333</v>
      </c>
    </row>
    <row r="312" spans="1:2" x14ac:dyDescent="0.35">
      <c r="A312" s="2">
        <v>14650</v>
      </c>
      <c r="B312" s="39" t="s">
        <v>1334</v>
      </c>
    </row>
    <row r="313" spans="1:2" x14ac:dyDescent="0.35">
      <c r="A313" s="2">
        <v>14665</v>
      </c>
      <c r="B313" s="39" t="s">
        <v>1335</v>
      </c>
    </row>
    <row r="314" spans="1:2" x14ac:dyDescent="0.35">
      <c r="A314" s="2">
        <v>14680</v>
      </c>
      <c r="B314" s="39" t="s">
        <v>1336</v>
      </c>
    </row>
    <row r="315" spans="1:2" x14ac:dyDescent="0.35">
      <c r="A315" s="2">
        <v>14695</v>
      </c>
      <c r="B315" s="39" t="s">
        <v>1337</v>
      </c>
    </row>
    <row r="316" spans="1:2" x14ac:dyDescent="0.35">
      <c r="A316" s="2">
        <v>14710</v>
      </c>
      <c r="B316" s="39" t="s">
        <v>1338</v>
      </c>
    </row>
    <row r="317" spans="1:2" x14ac:dyDescent="0.35">
      <c r="A317" s="2">
        <v>14725</v>
      </c>
      <c r="B317" s="39" t="s">
        <v>1339</v>
      </c>
    </row>
    <row r="318" spans="1:2" x14ac:dyDescent="0.35">
      <c r="A318" s="2">
        <v>14740</v>
      </c>
      <c r="B318" s="39" t="s">
        <v>1340</v>
      </c>
    </row>
    <row r="319" spans="1:2" x14ac:dyDescent="0.35">
      <c r="A319" s="2">
        <v>14755</v>
      </c>
      <c r="B319" s="39" t="s">
        <v>1341</v>
      </c>
    </row>
    <row r="320" spans="1:2" x14ac:dyDescent="0.35">
      <c r="A320" s="2">
        <v>14770</v>
      </c>
      <c r="B320" s="39" t="s">
        <v>1342</v>
      </c>
    </row>
    <row r="321" spans="1:2" x14ac:dyDescent="0.35">
      <c r="A321" s="2">
        <v>14785</v>
      </c>
      <c r="B321" s="39" t="s">
        <v>1343</v>
      </c>
    </row>
    <row r="322" spans="1:2" x14ac:dyDescent="0.35">
      <c r="A322" s="2">
        <v>14800</v>
      </c>
      <c r="B322" s="39" t="s">
        <v>1344</v>
      </c>
    </row>
    <row r="323" spans="1:2" x14ac:dyDescent="0.35">
      <c r="A323" s="2">
        <v>14815</v>
      </c>
      <c r="B323" s="39" t="s">
        <v>1345</v>
      </c>
    </row>
    <row r="324" spans="1:2" x14ac:dyDescent="0.35">
      <c r="A324" s="2">
        <v>14830</v>
      </c>
      <c r="B324" s="39" t="s">
        <v>1346</v>
      </c>
    </row>
    <row r="325" spans="1:2" x14ac:dyDescent="0.35">
      <c r="A325" s="2">
        <v>14845</v>
      </c>
      <c r="B325" s="39" t="s">
        <v>1347</v>
      </c>
    </row>
    <row r="326" spans="1:2" x14ac:dyDescent="0.35">
      <c r="A326" s="2">
        <v>14860</v>
      </c>
      <c r="B326" s="39" t="s">
        <v>1348</v>
      </c>
    </row>
    <row r="327" spans="1:2" x14ac:dyDescent="0.35">
      <c r="A327" s="2">
        <v>14875</v>
      </c>
      <c r="B327" s="39" t="s">
        <v>1349</v>
      </c>
    </row>
    <row r="328" spans="1:2" x14ac:dyDescent="0.35">
      <c r="A328" s="2">
        <v>14890</v>
      </c>
      <c r="B328" s="39" t="s">
        <v>1350</v>
      </c>
    </row>
    <row r="329" spans="1:2" x14ac:dyDescent="0.35">
      <c r="A329" s="2">
        <v>14905</v>
      </c>
      <c r="B329" s="39" t="s">
        <v>1351</v>
      </c>
    </row>
    <row r="330" spans="1:2" x14ac:dyDescent="0.35">
      <c r="A330" s="2">
        <v>14920</v>
      </c>
      <c r="B330" s="39" t="s">
        <v>1352</v>
      </c>
    </row>
    <row r="331" spans="1:2" x14ac:dyDescent="0.35">
      <c r="A331" s="2">
        <v>14935</v>
      </c>
      <c r="B331" s="39" t="s">
        <v>1353</v>
      </c>
    </row>
    <row r="332" spans="1:2" x14ac:dyDescent="0.35">
      <c r="A332" s="2">
        <v>14950</v>
      </c>
      <c r="B332" s="39" t="s">
        <v>1354</v>
      </c>
    </row>
    <row r="333" spans="1:2" x14ac:dyDescent="0.35">
      <c r="A333" s="2">
        <v>14965</v>
      </c>
      <c r="B333" s="39" t="s">
        <v>1355</v>
      </c>
    </row>
    <row r="334" spans="1:2" x14ac:dyDescent="0.35">
      <c r="A334" s="2">
        <v>14980</v>
      </c>
      <c r="B334" s="39" t="s">
        <v>1356</v>
      </c>
    </row>
    <row r="335" spans="1:2" x14ac:dyDescent="0.35">
      <c r="A335" s="2">
        <v>14995</v>
      </c>
      <c r="B335" s="39" t="s">
        <v>1357</v>
      </c>
    </row>
    <row r="336" spans="1:2" x14ac:dyDescent="0.35">
      <c r="A336" s="2">
        <v>15010</v>
      </c>
      <c r="B336" s="39" t="s">
        <v>1358</v>
      </c>
    </row>
    <row r="337" spans="1:2" x14ac:dyDescent="0.35">
      <c r="A337" s="2">
        <v>15025</v>
      </c>
      <c r="B337" s="39" t="s">
        <v>1359</v>
      </c>
    </row>
    <row r="338" spans="1:2" x14ac:dyDescent="0.35">
      <c r="A338" s="2">
        <v>15040</v>
      </c>
      <c r="B338" s="39" t="s">
        <v>1360</v>
      </c>
    </row>
    <row r="339" spans="1:2" x14ac:dyDescent="0.35">
      <c r="A339" s="2">
        <v>15055</v>
      </c>
      <c r="B339" s="39" t="s">
        <v>1361</v>
      </c>
    </row>
    <row r="340" spans="1:2" x14ac:dyDescent="0.35">
      <c r="A340" s="2">
        <v>15070</v>
      </c>
      <c r="B340" s="39" t="s">
        <v>1362</v>
      </c>
    </row>
    <row r="341" spans="1:2" x14ac:dyDescent="0.35">
      <c r="A341" s="2">
        <v>15085</v>
      </c>
      <c r="B341" s="39" t="s">
        <v>1363</v>
      </c>
    </row>
    <row r="342" spans="1:2" x14ac:dyDescent="0.35">
      <c r="A342" s="2">
        <v>15100</v>
      </c>
      <c r="B342" s="39" t="s">
        <v>1364</v>
      </c>
    </row>
    <row r="343" spans="1:2" x14ac:dyDescent="0.35">
      <c r="A343" s="2">
        <v>15115</v>
      </c>
      <c r="B343" s="39" t="s">
        <v>1365</v>
      </c>
    </row>
    <row r="344" spans="1:2" x14ac:dyDescent="0.35">
      <c r="A344" s="2">
        <v>15130</v>
      </c>
      <c r="B344" s="39" t="s">
        <v>1366</v>
      </c>
    </row>
    <row r="345" spans="1:2" x14ac:dyDescent="0.35">
      <c r="A345" s="2">
        <v>15145</v>
      </c>
      <c r="B345" s="39" t="s">
        <v>1367</v>
      </c>
    </row>
    <row r="346" spans="1:2" x14ac:dyDescent="0.35">
      <c r="A346" s="2">
        <v>15160</v>
      </c>
      <c r="B346" s="39" t="s">
        <v>1368</v>
      </c>
    </row>
    <row r="347" spans="1:2" x14ac:dyDescent="0.35">
      <c r="A347" s="2">
        <v>15175</v>
      </c>
      <c r="B347" s="39" t="s">
        <v>1369</v>
      </c>
    </row>
    <row r="348" spans="1:2" x14ac:dyDescent="0.35">
      <c r="A348" s="2">
        <v>15190</v>
      </c>
      <c r="B348" s="39" t="s">
        <v>1370</v>
      </c>
    </row>
    <row r="349" spans="1:2" x14ac:dyDescent="0.35">
      <c r="A349" s="2">
        <v>15205</v>
      </c>
      <c r="B349" s="39" t="s">
        <v>1371</v>
      </c>
    </row>
    <row r="350" spans="1:2" x14ac:dyDescent="0.35">
      <c r="A350" s="2">
        <v>15220</v>
      </c>
      <c r="B350" s="39" t="s">
        <v>1372</v>
      </c>
    </row>
    <row r="351" spans="1:2" x14ac:dyDescent="0.35">
      <c r="A351" s="2">
        <v>15235</v>
      </c>
      <c r="B351" s="39" t="s">
        <v>1373</v>
      </c>
    </row>
    <row r="352" spans="1:2" x14ac:dyDescent="0.35">
      <c r="A352" s="2">
        <v>15250</v>
      </c>
      <c r="B352" s="39" t="s">
        <v>1374</v>
      </c>
    </row>
    <row r="353" spans="1:2" x14ac:dyDescent="0.35">
      <c r="A353" s="2">
        <v>15265</v>
      </c>
      <c r="B353" s="39" t="s">
        <v>1375</v>
      </c>
    </row>
    <row r="354" spans="1:2" x14ac:dyDescent="0.35">
      <c r="A354" s="2">
        <v>15280</v>
      </c>
      <c r="B354" s="39" t="s">
        <v>1376</v>
      </c>
    </row>
    <row r="355" spans="1:2" x14ac:dyDescent="0.35">
      <c r="A355" s="2">
        <v>15295</v>
      </c>
      <c r="B355" s="39" t="s">
        <v>1377</v>
      </c>
    </row>
    <row r="356" spans="1:2" x14ac:dyDescent="0.35">
      <c r="A356" s="2">
        <v>15310</v>
      </c>
      <c r="B356" s="39" t="s">
        <v>1378</v>
      </c>
    </row>
    <row r="357" spans="1:2" x14ac:dyDescent="0.35">
      <c r="A357" s="2">
        <v>15325</v>
      </c>
      <c r="B357" s="39" t="s">
        <v>1379</v>
      </c>
    </row>
    <row r="358" spans="1:2" x14ac:dyDescent="0.35">
      <c r="A358" s="2">
        <v>15340</v>
      </c>
      <c r="B358" s="39" t="s">
        <v>1380</v>
      </c>
    </row>
    <row r="359" spans="1:2" x14ac:dyDescent="0.35">
      <c r="A359" s="2">
        <v>15355</v>
      </c>
      <c r="B359" s="39" t="s">
        <v>1381</v>
      </c>
    </row>
    <row r="360" spans="1:2" x14ac:dyDescent="0.35">
      <c r="A360" s="2">
        <v>15370</v>
      </c>
      <c r="B360" s="39" t="s">
        <v>1382</v>
      </c>
    </row>
    <row r="361" spans="1:2" x14ac:dyDescent="0.35">
      <c r="A361" s="2">
        <v>15385</v>
      </c>
      <c r="B361" s="39" t="s">
        <v>1383</v>
      </c>
    </row>
    <row r="362" spans="1:2" x14ac:dyDescent="0.35">
      <c r="A362" s="2">
        <v>15400</v>
      </c>
      <c r="B362" s="39" t="s">
        <v>1384</v>
      </c>
    </row>
    <row r="363" spans="1:2" x14ac:dyDescent="0.35">
      <c r="A363" s="2">
        <v>15415</v>
      </c>
      <c r="B363" s="39" t="s">
        <v>1385</v>
      </c>
    </row>
    <row r="364" spans="1:2" x14ac:dyDescent="0.35">
      <c r="A364" s="2">
        <v>15430</v>
      </c>
      <c r="B364" s="39" t="s">
        <v>1386</v>
      </c>
    </row>
    <row r="365" spans="1:2" x14ac:dyDescent="0.35">
      <c r="A365" s="2">
        <v>15445</v>
      </c>
      <c r="B365" s="39" t="s">
        <v>1387</v>
      </c>
    </row>
    <row r="366" spans="1:2" x14ac:dyDescent="0.35">
      <c r="A366" s="2">
        <v>15460</v>
      </c>
      <c r="B366" s="39" t="s">
        <v>1388</v>
      </c>
    </row>
    <row r="367" spans="1:2" x14ac:dyDescent="0.35">
      <c r="A367" s="2">
        <v>15475</v>
      </c>
      <c r="B367" s="39" t="s">
        <v>1389</v>
      </c>
    </row>
    <row r="368" spans="1:2" x14ac:dyDescent="0.35">
      <c r="A368" s="2">
        <v>15490</v>
      </c>
      <c r="B368" s="39" t="s">
        <v>1390</v>
      </c>
    </row>
    <row r="369" spans="1:2" x14ac:dyDescent="0.35">
      <c r="A369" s="2">
        <v>15505</v>
      </c>
      <c r="B369" s="39" t="s">
        <v>1391</v>
      </c>
    </row>
    <row r="370" spans="1:2" x14ac:dyDescent="0.35">
      <c r="A370" s="2">
        <v>15520</v>
      </c>
      <c r="B370" s="39" t="s">
        <v>1392</v>
      </c>
    </row>
    <row r="371" spans="1:2" x14ac:dyDescent="0.35">
      <c r="A371" s="2">
        <v>15535</v>
      </c>
      <c r="B371" s="39" t="s">
        <v>1393</v>
      </c>
    </row>
    <row r="372" spans="1:2" x14ac:dyDescent="0.35">
      <c r="A372" s="2">
        <v>15550</v>
      </c>
      <c r="B372" s="39" t="s">
        <v>1394</v>
      </c>
    </row>
    <row r="373" spans="1:2" x14ac:dyDescent="0.35">
      <c r="A373" s="2">
        <v>15565</v>
      </c>
      <c r="B373" s="39" t="s">
        <v>1395</v>
      </c>
    </row>
    <row r="374" spans="1:2" x14ac:dyDescent="0.35">
      <c r="A374" s="2">
        <v>15580</v>
      </c>
      <c r="B374" s="39" t="s">
        <v>1396</v>
      </c>
    </row>
    <row r="375" spans="1:2" x14ac:dyDescent="0.35">
      <c r="A375" s="2">
        <v>15595</v>
      </c>
      <c r="B375" s="39" t="s">
        <v>1397</v>
      </c>
    </row>
    <row r="376" spans="1:2" x14ac:dyDescent="0.35">
      <c r="A376" s="2">
        <v>15610</v>
      </c>
      <c r="B376" s="39" t="s">
        <v>1398</v>
      </c>
    </row>
    <row r="377" spans="1:2" x14ac:dyDescent="0.35">
      <c r="A377" s="2">
        <v>15625</v>
      </c>
      <c r="B377" s="39" t="s">
        <v>1399</v>
      </c>
    </row>
    <row r="378" spans="1:2" x14ac:dyDescent="0.35">
      <c r="A378" s="2">
        <v>15640</v>
      </c>
      <c r="B378" s="39" t="s">
        <v>1400</v>
      </c>
    </row>
    <row r="379" spans="1:2" x14ac:dyDescent="0.35">
      <c r="A379" s="2">
        <v>15655</v>
      </c>
      <c r="B379" s="39" t="s">
        <v>1401</v>
      </c>
    </row>
    <row r="380" spans="1:2" x14ac:dyDescent="0.35">
      <c r="A380" s="2">
        <v>15670</v>
      </c>
      <c r="B380" s="39" t="s">
        <v>1402</v>
      </c>
    </row>
    <row r="381" spans="1:2" x14ac:dyDescent="0.35">
      <c r="A381" s="2">
        <v>15685</v>
      </c>
      <c r="B381" s="39" t="s">
        <v>1403</v>
      </c>
    </row>
    <row r="382" spans="1:2" x14ac:dyDescent="0.35">
      <c r="A382" s="2">
        <v>15700</v>
      </c>
      <c r="B382" s="39" t="s">
        <v>1404</v>
      </c>
    </row>
    <row r="383" spans="1:2" x14ac:dyDescent="0.35">
      <c r="A383" s="2">
        <v>15715</v>
      </c>
      <c r="B383" s="39" t="s">
        <v>1405</v>
      </c>
    </row>
    <row r="384" spans="1:2" x14ac:dyDescent="0.35">
      <c r="A384" s="2">
        <v>15730</v>
      </c>
      <c r="B384" s="39" t="s">
        <v>1406</v>
      </c>
    </row>
    <row r="385" spans="1:2" x14ac:dyDescent="0.35">
      <c r="A385" s="2">
        <v>15745</v>
      </c>
      <c r="B385" s="39" t="s">
        <v>1407</v>
      </c>
    </row>
    <row r="386" spans="1:2" x14ac:dyDescent="0.35">
      <c r="A386" s="2">
        <v>15760</v>
      </c>
      <c r="B386" s="39" t="s">
        <v>1408</v>
      </c>
    </row>
    <row r="387" spans="1:2" x14ac:dyDescent="0.35">
      <c r="A387" s="2">
        <v>15775</v>
      </c>
      <c r="B387" s="39" t="s">
        <v>1409</v>
      </c>
    </row>
    <row r="388" spans="1:2" x14ac:dyDescent="0.35">
      <c r="A388" s="2">
        <v>15790</v>
      </c>
      <c r="B388" s="39" t="s">
        <v>1410</v>
      </c>
    </row>
    <row r="389" spans="1:2" x14ac:dyDescent="0.35">
      <c r="A389" s="2">
        <v>15805</v>
      </c>
      <c r="B389" s="39" t="s">
        <v>1411</v>
      </c>
    </row>
    <row r="390" spans="1:2" x14ac:dyDescent="0.35">
      <c r="A390" s="2">
        <v>15820</v>
      </c>
      <c r="B390" s="39" t="s">
        <v>1412</v>
      </c>
    </row>
    <row r="391" spans="1:2" x14ac:dyDescent="0.35">
      <c r="A391" s="2">
        <v>15835</v>
      </c>
      <c r="B391" s="39" t="s">
        <v>1413</v>
      </c>
    </row>
    <row r="392" spans="1:2" x14ac:dyDescent="0.35">
      <c r="A392" s="2">
        <v>15850</v>
      </c>
      <c r="B392" s="39" t="s">
        <v>1414</v>
      </c>
    </row>
    <row r="393" spans="1:2" x14ac:dyDescent="0.35">
      <c r="A393" s="2">
        <v>15865</v>
      </c>
      <c r="B393" s="39" t="s">
        <v>1415</v>
      </c>
    </row>
    <row r="394" spans="1:2" x14ac:dyDescent="0.35">
      <c r="A394" s="2">
        <v>15880</v>
      </c>
      <c r="B394" s="39" t="s">
        <v>1416</v>
      </c>
    </row>
    <row r="395" spans="1:2" x14ac:dyDescent="0.35">
      <c r="A395" s="2">
        <v>15895</v>
      </c>
      <c r="B395" s="39" t="s">
        <v>1417</v>
      </c>
    </row>
    <row r="396" spans="1:2" x14ac:dyDescent="0.35">
      <c r="A396" s="2">
        <v>15910</v>
      </c>
      <c r="B396" s="39" t="s">
        <v>1418</v>
      </c>
    </row>
    <row r="397" spans="1:2" x14ac:dyDescent="0.35">
      <c r="A397" s="2">
        <v>15925</v>
      </c>
      <c r="B397" s="39" t="s">
        <v>1419</v>
      </c>
    </row>
    <row r="398" spans="1:2" x14ac:dyDescent="0.35">
      <c r="A398" s="2">
        <v>15940</v>
      </c>
      <c r="B398" s="39" t="s">
        <v>1420</v>
      </c>
    </row>
    <row r="399" spans="1:2" x14ac:dyDescent="0.35">
      <c r="A399" s="2">
        <v>15955</v>
      </c>
      <c r="B399" s="39" t="s">
        <v>1421</v>
      </c>
    </row>
    <row r="400" spans="1:2" x14ac:dyDescent="0.35">
      <c r="A400" s="2">
        <v>15970</v>
      </c>
      <c r="B400" s="39" t="s">
        <v>1422</v>
      </c>
    </row>
    <row r="401" spans="1:2" x14ac:dyDescent="0.35">
      <c r="A401" s="2">
        <v>15985</v>
      </c>
      <c r="B401" s="39" t="s">
        <v>1423</v>
      </c>
    </row>
    <row r="402" spans="1:2" x14ac:dyDescent="0.35">
      <c r="A402" s="2">
        <v>16000</v>
      </c>
      <c r="B402" s="39" t="s">
        <v>1424</v>
      </c>
    </row>
    <row r="403" spans="1:2" x14ac:dyDescent="0.35">
      <c r="A403" s="2">
        <v>16015</v>
      </c>
      <c r="B403" s="39" t="s">
        <v>1425</v>
      </c>
    </row>
    <row r="404" spans="1:2" x14ac:dyDescent="0.35">
      <c r="A404" s="2">
        <v>16030</v>
      </c>
      <c r="B404" s="39" t="s">
        <v>1426</v>
      </c>
    </row>
    <row r="405" spans="1:2" x14ac:dyDescent="0.35">
      <c r="A405" s="2">
        <v>16045</v>
      </c>
      <c r="B405" s="39" t="s">
        <v>1427</v>
      </c>
    </row>
    <row r="406" spans="1:2" x14ac:dyDescent="0.35">
      <c r="A406" s="2">
        <v>16060</v>
      </c>
      <c r="B406" s="39" t="s">
        <v>1428</v>
      </c>
    </row>
    <row r="407" spans="1:2" x14ac:dyDescent="0.35">
      <c r="A407" s="2">
        <v>16075</v>
      </c>
      <c r="B407" s="39" t="s">
        <v>1429</v>
      </c>
    </row>
    <row r="408" spans="1:2" x14ac:dyDescent="0.35">
      <c r="A408" s="2">
        <v>16090</v>
      </c>
      <c r="B408" s="39" t="s">
        <v>1430</v>
      </c>
    </row>
    <row r="409" spans="1:2" x14ac:dyDescent="0.35">
      <c r="A409" s="2">
        <v>16105</v>
      </c>
      <c r="B409" s="39" t="s">
        <v>1431</v>
      </c>
    </row>
    <row r="410" spans="1:2" x14ac:dyDescent="0.35">
      <c r="A410" s="2">
        <v>16120</v>
      </c>
      <c r="B410" s="39" t="s">
        <v>1432</v>
      </c>
    </row>
    <row r="411" spans="1:2" x14ac:dyDescent="0.35">
      <c r="A411" s="2">
        <v>16135</v>
      </c>
      <c r="B411" s="39" t="s">
        <v>1433</v>
      </c>
    </row>
    <row r="412" spans="1:2" x14ac:dyDescent="0.35">
      <c r="A412" s="2">
        <v>16150</v>
      </c>
      <c r="B412" s="39" t="s">
        <v>1434</v>
      </c>
    </row>
    <row r="413" spans="1:2" x14ac:dyDescent="0.35">
      <c r="A413" s="2">
        <v>16165</v>
      </c>
      <c r="B413" s="39" t="s">
        <v>1435</v>
      </c>
    </row>
    <row r="414" spans="1:2" x14ac:dyDescent="0.35">
      <c r="A414" s="2">
        <v>16180</v>
      </c>
      <c r="B414" s="39" t="s">
        <v>1436</v>
      </c>
    </row>
    <row r="415" spans="1:2" x14ac:dyDescent="0.35">
      <c r="A415" s="2">
        <v>16195</v>
      </c>
      <c r="B415" s="39" t="s">
        <v>1437</v>
      </c>
    </row>
    <row r="416" spans="1:2" x14ac:dyDescent="0.35">
      <c r="A416" s="2">
        <v>16210</v>
      </c>
      <c r="B416" s="39" t="s">
        <v>1438</v>
      </c>
    </row>
    <row r="417" spans="1:2" x14ac:dyDescent="0.35">
      <c r="A417" s="2">
        <v>16225</v>
      </c>
      <c r="B417" s="39" t="s">
        <v>1439</v>
      </c>
    </row>
    <row r="418" spans="1:2" x14ac:dyDescent="0.35">
      <c r="A418" s="2">
        <v>16240</v>
      </c>
      <c r="B418" s="39" t="s">
        <v>1440</v>
      </c>
    </row>
    <row r="419" spans="1:2" x14ac:dyDescent="0.35">
      <c r="A419" s="2">
        <v>16255</v>
      </c>
      <c r="B419" s="39" t="s">
        <v>1441</v>
      </c>
    </row>
    <row r="420" spans="1:2" x14ac:dyDescent="0.35">
      <c r="A420" s="2">
        <v>16270</v>
      </c>
      <c r="B420" s="39" t="s">
        <v>1442</v>
      </c>
    </row>
    <row r="421" spans="1:2" x14ac:dyDescent="0.35">
      <c r="A421" s="2">
        <v>16285</v>
      </c>
      <c r="B421" s="39" t="s">
        <v>1443</v>
      </c>
    </row>
    <row r="422" spans="1:2" x14ac:dyDescent="0.35">
      <c r="A422" s="2">
        <v>16300</v>
      </c>
      <c r="B422" s="39" t="s">
        <v>1444</v>
      </c>
    </row>
    <row r="423" spans="1:2" x14ac:dyDescent="0.35">
      <c r="A423" s="2">
        <v>16315</v>
      </c>
      <c r="B423" s="39" t="s">
        <v>1445</v>
      </c>
    </row>
    <row r="424" spans="1:2" x14ac:dyDescent="0.35">
      <c r="A424" s="2">
        <v>16330</v>
      </c>
      <c r="B424" s="39" t="s">
        <v>1446</v>
      </c>
    </row>
    <row r="425" spans="1:2" x14ac:dyDescent="0.35">
      <c r="A425" s="2">
        <v>16345</v>
      </c>
      <c r="B425" s="39" t="s">
        <v>1447</v>
      </c>
    </row>
    <row r="426" spans="1:2" x14ac:dyDescent="0.35">
      <c r="A426" s="2">
        <v>16360</v>
      </c>
      <c r="B426" s="39" t="s">
        <v>1448</v>
      </c>
    </row>
    <row r="427" spans="1:2" x14ac:dyDescent="0.35">
      <c r="A427" s="2">
        <v>16375</v>
      </c>
      <c r="B427" s="39" t="s">
        <v>1449</v>
      </c>
    </row>
    <row r="428" spans="1:2" x14ac:dyDescent="0.35">
      <c r="A428" s="2">
        <v>16390</v>
      </c>
      <c r="B428" s="39" t="s">
        <v>1450</v>
      </c>
    </row>
    <row r="429" spans="1:2" x14ac:dyDescent="0.35">
      <c r="A429" s="2">
        <v>16405</v>
      </c>
      <c r="B429" s="39" t="s">
        <v>1451</v>
      </c>
    </row>
    <row r="430" spans="1:2" x14ac:dyDescent="0.35">
      <c r="A430" s="2">
        <v>16420</v>
      </c>
      <c r="B430" s="39" t="s">
        <v>1452</v>
      </c>
    </row>
    <row r="431" spans="1:2" x14ac:dyDescent="0.35">
      <c r="A431" s="2">
        <v>16435</v>
      </c>
      <c r="B431" s="39" t="s">
        <v>1453</v>
      </c>
    </row>
    <row r="432" spans="1:2" x14ac:dyDescent="0.35">
      <c r="A432" s="2">
        <v>16450</v>
      </c>
      <c r="B432" s="39" t="s">
        <v>1454</v>
      </c>
    </row>
    <row r="433" spans="1:2" x14ac:dyDescent="0.35">
      <c r="A433" s="2">
        <v>16465</v>
      </c>
      <c r="B433" s="39" t="s">
        <v>1455</v>
      </c>
    </row>
    <row r="434" spans="1:2" x14ac:dyDescent="0.35">
      <c r="A434" s="2">
        <v>16480</v>
      </c>
      <c r="B434" s="39" t="s">
        <v>1456</v>
      </c>
    </row>
    <row r="435" spans="1:2" x14ac:dyDescent="0.35">
      <c r="A435" s="2">
        <v>16495</v>
      </c>
      <c r="B435" s="39" t="s">
        <v>1457</v>
      </c>
    </row>
    <row r="436" spans="1:2" x14ac:dyDescent="0.35">
      <c r="A436" s="2">
        <v>16510</v>
      </c>
      <c r="B436" s="39" t="s">
        <v>1458</v>
      </c>
    </row>
    <row r="437" spans="1:2" x14ac:dyDescent="0.35">
      <c r="A437" s="2">
        <v>16525</v>
      </c>
      <c r="B437" s="39" t="s">
        <v>1459</v>
      </c>
    </row>
    <row r="438" spans="1:2" x14ac:dyDescent="0.35">
      <c r="A438" s="2">
        <v>16540</v>
      </c>
      <c r="B438" s="39" t="s">
        <v>1460</v>
      </c>
    </row>
    <row r="439" spans="1:2" x14ac:dyDescent="0.35">
      <c r="A439" s="2">
        <v>16555</v>
      </c>
      <c r="B439" s="39" t="s">
        <v>1461</v>
      </c>
    </row>
    <row r="440" spans="1:2" x14ac:dyDescent="0.35">
      <c r="A440" s="2">
        <v>16570</v>
      </c>
      <c r="B440" s="39" t="s">
        <v>1462</v>
      </c>
    </row>
    <row r="441" spans="1:2" x14ac:dyDescent="0.35">
      <c r="A441" s="2">
        <v>16585</v>
      </c>
      <c r="B441" s="39" t="s">
        <v>1463</v>
      </c>
    </row>
    <row r="442" spans="1:2" x14ac:dyDescent="0.35">
      <c r="A442" s="2">
        <v>16600</v>
      </c>
      <c r="B442" s="39" t="s">
        <v>1464</v>
      </c>
    </row>
    <row r="443" spans="1:2" x14ac:dyDescent="0.35">
      <c r="A443" s="2">
        <v>16615</v>
      </c>
      <c r="B443" s="39" t="s">
        <v>1465</v>
      </c>
    </row>
    <row r="444" spans="1:2" x14ac:dyDescent="0.35">
      <c r="A444" s="2">
        <v>16630</v>
      </c>
      <c r="B444" s="39" t="s">
        <v>1466</v>
      </c>
    </row>
    <row r="445" spans="1:2" x14ac:dyDescent="0.35">
      <c r="A445" s="2">
        <v>16645</v>
      </c>
      <c r="B445" s="39" t="s">
        <v>1467</v>
      </c>
    </row>
    <row r="446" spans="1:2" x14ac:dyDescent="0.35">
      <c r="A446" s="2">
        <v>16660</v>
      </c>
      <c r="B446" s="39" t="s">
        <v>1468</v>
      </c>
    </row>
    <row r="447" spans="1:2" x14ac:dyDescent="0.35">
      <c r="A447" s="2">
        <v>16675</v>
      </c>
      <c r="B447" s="39" t="s">
        <v>1469</v>
      </c>
    </row>
    <row r="448" spans="1:2" x14ac:dyDescent="0.35">
      <c r="A448" s="2">
        <v>16690</v>
      </c>
      <c r="B448" s="39" t="s">
        <v>1470</v>
      </c>
    </row>
    <row r="449" spans="1:2" x14ac:dyDescent="0.35">
      <c r="A449" s="2">
        <v>16705</v>
      </c>
      <c r="B449" s="39" t="s">
        <v>1471</v>
      </c>
    </row>
    <row r="450" spans="1:2" x14ac:dyDescent="0.35">
      <c r="A450" s="2">
        <v>16720</v>
      </c>
      <c r="B450" s="39" t="s">
        <v>1472</v>
      </c>
    </row>
    <row r="451" spans="1:2" x14ac:dyDescent="0.35">
      <c r="A451" s="2">
        <v>16735</v>
      </c>
      <c r="B451" s="39" t="s">
        <v>1473</v>
      </c>
    </row>
    <row r="452" spans="1:2" x14ac:dyDescent="0.35">
      <c r="A452" s="2">
        <v>16750</v>
      </c>
      <c r="B452" s="39" t="s">
        <v>1474</v>
      </c>
    </row>
    <row r="453" spans="1:2" x14ac:dyDescent="0.35">
      <c r="A453" s="2">
        <v>16765</v>
      </c>
      <c r="B453" s="39" t="s">
        <v>1475</v>
      </c>
    </row>
    <row r="454" spans="1:2" x14ac:dyDescent="0.35">
      <c r="A454" s="2">
        <v>16780</v>
      </c>
      <c r="B454" s="39" t="s">
        <v>1476</v>
      </c>
    </row>
    <row r="455" spans="1:2" x14ac:dyDescent="0.35">
      <c r="A455" s="2">
        <v>16795</v>
      </c>
      <c r="B455" s="39" t="s">
        <v>1477</v>
      </c>
    </row>
    <row r="456" spans="1:2" x14ac:dyDescent="0.35">
      <c r="A456" s="2">
        <v>16810</v>
      </c>
      <c r="B456" s="39" t="s">
        <v>1478</v>
      </c>
    </row>
    <row r="457" spans="1:2" x14ac:dyDescent="0.35">
      <c r="A457" s="2">
        <v>16825</v>
      </c>
      <c r="B457" s="39" t="s">
        <v>1479</v>
      </c>
    </row>
    <row r="458" spans="1:2" x14ac:dyDescent="0.35">
      <c r="A458" s="2">
        <v>16840</v>
      </c>
      <c r="B458" s="39" t="s">
        <v>1480</v>
      </c>
    </row>
    <row r="459" spans="1:2" x14ac:dyDescent="0.35">
      <c r="A459" s="2">
        <v>16855</v>
      </c>
      <c r="B459" s="39" t="s">
        <v>1481</v>
      </c>
    </row>
    <row r="460" spans="1:2" x14ac:dyDescent="0.35">
      <c r="A460" s="2">
        <v>16870</v>
      </c>
      <c r="B460" s="39" t="s">
        <v>1482</v>
      </c>
    </row>
    <row r="461" spans="1:2" x14ac:dyDescent="0.35">
      <c r="A461" s="2">
        <v>16885</v>
      </c>
      <c r="B461" s="39" t="s">
        <v>1483</v>
      </c>
    </row>
    <row r="462" spans="1:2" x14ac:dyDescent="0.35">
      <c r="A462" s="2">
        <v>16900</v>
      </c>
      <c r="B462" s="39" t="s">
        <v>1484</v>
      </c>
    </row>
    <row r="463" spans="1:2" x14ac:dyDescent="0.35">
      <c r="A463" s="2">
        <v>16915</v>
      </c>
      <c r="B463" s="39" t="s">
        <v>1485</v>
      </c>
    </row>
    <row r="464" spans="1:2" x14ac:dyDescent="0.35">
      <c r="A464" s="2">
        <v>16930</v>
      </c>
      <c r="B464" s="39" t="s">
        <v>1486</v>
      </c>
    </row>
    <row r="465" spans="1:2" x14ac:dyDescent="0.35">
      <c r="A465" s="2">
        <v>16945</v>
      </c>
      <c r="B465" s="39" t="s">
        <v>1487</v>
      </c>
    </row>
    <row r="466" spans="1:2" x14ac:dyDescent="0.35">
      <c r="A466" s="2">
        <v>16960</v>
      </c>
      <c r="B466" s="39" t="s">
        <v>1488</v>
      </c>
    </row>
    <row r="467" spans="1:2" x14ac:dyDescent="0.35">
      <c r="A467" s="2">
        <v>16975</v>
      </c>
      <c r="B467" s="39" t="s">
        <v>1489</v>
      </c>
    </row>
    <row r="468" spans="1:2" x14ac:dyDescent="0.35">
      <c r="A468" s="2">
        <v>16990</v>
      </c>
      <c r="B468" s="39" t="s">
        <v>1490</v>
      </c>
    </row>
    <row r="469" spans="1:2" x14ac:dyDescent="0.35">
      <c r="A469" s="2">
        <v>17005</v>
      </c>
      <c r="B469" s="39" t="s">
        <v>1491</v>
      </c>
    </row>
    <row r="470" spans="1:2" x14ac:dyDescent="0.35">
      <c r="A470" s="2">
        <v>17020</v>
      </c>
      <c r="B470" s="39" t="s">
        <v>1492</v>
      </c>
    </row>
    <row r="471" spans="1:2" x14ac:dyDescent="0.35">
      <c r="A471" s="2">
        <v>17035</v>
      </c>
      <c r="B471" s="39" t="s">
        <v>1493</v>
      </c>
    </row>
    <row r="472" spans="1:2" x14ac:dyDescent="0.35">
      <c r="A472" s="2">
        <v>17050</v>
      </c>
      <c r="B472" s="39" t="s">
        <v>1494</v>
      </c>
    </row>
    <row r="473" spans="1:2" x14ac:dyDescent="0.35">
      <c r="A473" s="2">
        <v>17065</v>
      </c>
      <c r="B473" s="39" t="s">
        <v>1495</v>
      </c>
    </row>
    <row r="474" spans="1:2" x14ac:dyDescent="0.35">
      <c r="A474" s="2">
        <v>17080</v>
      </c>
      <c r="B474" s="39" t="s">
        <v>1496</v>
      </c>
    </row>
    <row r="475" spans="1:2" x14ac:dyDescent="0.35">
      <c r="A475" s="2">
        <v>17095</v>
      </c>
      <c r="B475" s="39" t="s">
        <v>1497</v>
      </c>
    </row>
    <row r="476" spans="1:2" x14ac:dyDescent="0.35">
      <c r="A476" s="2">
        <v>17110</v>
      </c>
      <c r="B476" s="39" t="s">
        <v>1498</v>
      </c>
    </row>
    <row r="477" spans="1:2" x14ac:dyDescent="0.35">
      <c r="A477" s="2">
        <v>17125</v>
      </c>
      <c r="B477" s="39" t="s">
        <v>1499</v>
      </c>
    </row>
    <row r="478" spans="1:2" x14ac:dyDescent="0.35">
      <c r="A478" s="2">
        <v>17140</v>
      </c>
      <c r="B478" s="39" t="s">
        <v>1500</v>
      </c>
    </row>
    <row r="479" spans="1:2" x14ac:dyDescent="0.35">
      <c r="A479" s="2">
        <v>17155</v>
      </c>
      <c r="B479" s="39" t="s">
        <v>1501</v>
      </c>
    </row>
    <row r="480" spans="1:2" x14ac:dyDescent="0.35">
      <c r="A480" s="2">
        <v>17170</v>
      </c>
      <c r="B480" s="39" t="s">
        <v>1502</v>
      </c>
    </row>
    <row r="481" spans="1:2" x14ac:dyDescent="0.35">
      <c r="A481" s="2">
        <v>17185</v>
      </c>
      <c r="B481" s="39" t="s">
        <v>1503</v>
      </c>
    </row>
    <row r="482" spans="1:2" x14ac:dyDescent="0.35">
      <c r="A482" s="2">
        <v>17200</v>
      </c>
      <c r="B482" s="39" t="s">
        <v>1504</v>
      </c>
    </row>
    <row r="483" spans="1:2" x14ac:dyDescent="0.35">
      <c r="A483" s="2">
        <v>17215</v>
      </c>
      <c r="B483" s="39" t="s">
        <v>1505</v>
      </c>
    </row>
    <row r="484" spans="1:2" x14ac:dyDescent="0.35">
      <c r="A484" s="2">
        <v>17230</v>
      </c>
      <c r="B484" s="39" t="s">
        <v>1506</v>
      </c>
    </row>
    <row r="485" spans="1:2" x14ac:dyDescent="0.35">
      <c r="A485" s="2">
        <v>17245</v>
      </c>
      <c r="B485" s="39" t="s">
        <v>1507</v>
      </c>
    </row>
    <row r="486" spans="1:2" x14ac:dyDescent="0.35">
      <c r="A486" s="2">
        <v>17260</v>
      </c>
      <c r="B486" s="39" t="s">
        <v>1508</v>
      </c>
    </row>
    <row r="487" spans="1:2" x14ac:dyDescent="0.35">
      <c r="A487" s="2">
        <v>17275</v>
      </c>
      <c r="B487" s="39" t="s">
        <v>1509</v>
      </c>
    </row>
    <row r="488" spans="1:2" x14ac:dyDescent="0.35">
      <c r="A488" s="2">
        <v>17290</v>
      </c>
      <c r="B488" s="39" t="s">
        <v>1510</v>
      </c>
    </row>
    <row r="489" spans="1:2" x14ac:dyDescent="0.35">
      <c r="A489" s="2">
        <v>17305</v>
      </c>
      <c r="B489" s="39" t="s">
        <v>1511</v>
      </c>
    </row>
    <row r="490" spans="1:2" x14ac:dyDescent="0.35">
      <c r="A490" s="2">
        <v>17320</v>
      </c>
      <c r="B490" s="39" t="s">
        <v>1512</v>
      </c>
    </row>
    <row r="491" spans="1:2" x14ac:dyDescent="0.35">
      <c r="A491" s="2">
        <v>17335</v>
      </c>
      <c r="B491" s="39" t="s">
        <v>1513</v>
      </c>
    </row>
    <row r="492" spans="1:2" x14ac:dyDescent="0.35">
      <c r="A492" s="2">
        <v>17350</v>
      </c>
      <c r="B492" s="39" t="s">
        <v>1514</v>
      </c>
    </row>
    <row r="493" spans="1:2" x14ac:dyDescent="0.35">
      <c r="A493" s="2">
        <v>17365</v>
      </c>
      <c r="B493" s="39" t="s">
        <v>1515</v>
      </c>
    </row>
    <row r="494" spans="1:2" x14ac:dyDescent="0.35">
      <c r="A494" s="2">
        <v>17380</v>
      </c>
      <c r="B494" s="39" t="s">
        <v>1516</v>
      </c>
    </row>
    <row r="495" spans="1:2" x14ac:dyDescent="0.35">
      <c r="A495" s="2">
        <v>17395</v>
      </c>
      <c r="B495" s="39" t="s">
        <v>1517</v>
      </c>
    </row>
    <row r="496" spans="1:2" x14ac:dyDescent="0.35">
      <c r="A496" s="2">
        <v>17410</v>
      </c>
      <c r="B496" s="39" t="s">
        <v>1518</v>
      </c>
    </row>
    <row r="497" spans="1:2" x14ac:dyDescent="0.35">
      <c r="A497" s="2">
        <v>17425</v>
      </c>
      <c r="B497" s="39" t="s">
        <v>1519</v>
      </c>
    </row>
    <row r="498" spans="1:2" x14ac:dyDescent="0.35">
      <c r="A498" s="2">
        <v>17440</v>
      </c>
      <c r="B498" s="39" t="s">
        <v>1520</v>
      </c>
    </row>
    <row r="499" spans="1:2" x14ac:dyDescent="0.35">
      <c r="A499" s="2">
        <v>17455</v>
      </c>
      <c r="B499" s="39" t="s">
        <v>1521</v>
      </c>
    </row>
    <row r="500" spans="1:2" x14ac:dyDescent="0.35">
      <c r="A500" s="2">
        <v>17470</v>
      </c>
      <c r="B500" s="39" t="s">
        <v>1522</v>
      </c>
    </row>
    <row r="501" spans="1:2" x14ac:dyDescent="0.35">
      <c r="A501" s="2">
        <v>17485</v>
      </c>
      <c r="B501" s="39" t="s">
        <v>1523</v>
      </c>
    </row>
    <row r="502" spans="1:2" x14ac:dyDescent="0.35">
      <c r="A502" s="2">
        <v>17500</v>
      </c>
      <c r="B502" s="39" t="s">
        <v>1524</v>
      </c>
    </row>
    <row r="503" spans="1:2" x14ac:dyDescent="0.35">
      <c r="A503" s="2">
        <v>17515</v>
      </c>
      <c r="B503" s="39" t="s">
        <v>1525</v>
      </c>
    </row>
    <row r="504" spans="1:2" x14ac:dyDescent="0.35">
      <c r="A504" s="2">
        <v>17530</v>
      </c>
      <c r="B504" s="39" t="s">
        <v>1526</v>
      </c>
    </row>
    <row r="505" spans="1:2" x14ac:dyDescent="0.35">
      <c r="A505" s="2">
        <v>17545</v>
      </c>
      <c r="B505" s="39" t="s">
        <v>1527</v>
      </c>
    </row>
    <row r="506" spans="1:2" x14ac:dyDescent="0.35">
      <c r="A506" s="2">
        <v>17560</v>
      </c>
      <c r="B506" s="39" t="s">
        <v>1528</v>
      </c>
    </row>
    <row r="507" spans="1:2" x14ac:dyDescent="0.35">
      <c r="A507" s="2">
        <v>17575</v>
      </c>
      <c r="B507" s="39" t="s">
        <v>1529</v>
      </c>
    </row>
    <row r="508" spans="1:2" x14ac:dyDescent="0.35">
      <c r="A508" s="2">
        <v>17590</v>
      </c>
      <c r="B508" s="39" t="s">
        <v>1530</v>
      </c>
    </row>
    <row r="509" spans="1:2" x14ac:dyDescent="0.35">
      <c r="A509" s="2">
        <v>17605</v>
      </c>
      <c r="B509" s="39" t="s">
        <v>1531</v>
      </c>
    </row>
    <row r="510" spans="1:2" x14ac:dyDescent="0.35">
      <c r="A510" s="2">
        <v>17620</v>
      </c>
      <c r="B510" s="39" t="s">
        <v>1532</v>
      </c>
    </row>
    <row r="511" spans="1:2" x14ac:dyDescent="0.35">
      <c r="A511" s="2">
        <v>17635</v>
      </c>
      <c r="B511" s="39" t="s">
        <v>1533</v>
      </c>
    </row>
    <row r="512" spans="1:2" x14ac:dyDescent="0.35">
      <c r="A512" s="2">
        <v>17650</v>
      </c>
      <c r="B512" s="39" t="s">
        <v>1534</v>
      </c>
    </row>
    <row r="513" spans="1:2" x14ac:dyDescent="0.35">
      <c r="A513" s="2">
        <v>17665</v>
      </c>
      <c r="B513" s="39" t="s">
        <v>1535</v>
      </c>
    </row>
    <row r="514" spans="1:2" x14ac:dyDescent="0.35">
      <c r="A514" s="2">
        <v>17680</v>
      </c>
      <c r="B514" s="39" t="s">
        <v>1536</v>
      </c>
    </row>
    <row r="515" spans="1:2" x14ac:dyDescent="0.35">
      <c r="A515" s="2">
        <v>17695</v>
      </c>
      <c r="B515" s="39" t="s">
        <v>1537</v>
      </c>
    </row>
    <row r="516" spans="1:2" x14ac:dyDescent="0.35">
      <c r="A516" s="2">
        <v>17710</v>
      </c>
      <c r="B516" s="39" t="s">
        <v>1538</v>
      </c>
    </row>
    <row r="517" spans="1:2" x14ac:dyDescent="0.35">
      <c r="A517" s="2">
        <v>17725</v>
      </c>
      <c r="B517" s="39" t="s">
        <v>1539</v>
      </c>
    </row>
    <row r="518" spans="1:2" x14ac:dyDescent="0.35">
      <c r="A518" s="2">
        <v>17740</v>
      </c>
      <c r="B518" s="39" t="s">
        <v>1540</v>
      </c>
    </row>
    <row r="519" spans="1:2" x14ac:dyDescent="0.35">
      <c r="A519" s="2">
        <v>17755</v>
      </c>
      <c r="B519" s="39" t="s">
        <v>1541</v>
      </c>
    </row>
    <row r="520" spans="1:2" x14ac:dyDescent="0.35">
      <c r="A520" s="2">
        <v>17770</v>
      </c>
      <c r="B520" s="39" t="s">
        <v>1542</v>
      </c>
    </row>
    <row r="521" spans="1:2" x14ac:dyDescent="0.35">
      <c r="A521" s="2">
        <v>17785</v>
      </c>
      <c r="B521" s="39" t="s">
        <v>1543</v>
      </c>
    </row>
    <row r="522" spans="1:2" x14ac:dyDescent="0.35">
      <c r="A522" s="2">
        <v>17800</v>
      </c>
      <c r="B522" s="39" t="s">
        <v>1544</v>
      </c>
    </row>
    <row r="523" spans="1:2" x14ac:dyDescent="0.35">
      <c r="A523" s="2">
        <v>17815</v>
      </c>
      <c r="B523" s="39" t="s">
        <v>1545</v>
      </c>
    </row>
    <row r="524" spans="1:2" x14ac:dyDescent="0.35">
      <c r="A524" s="2">
        <v>17830</v>
      </c>
      <c r="B524" s="39" t="s">
        <v>1546</v>
      </c>
    </row>
    <row r="525" spans="1:2" x14ac:dyDescent="0.35">
      <c r="A525" s="2">
        <v>17845</v>
      </c>
      <c r="B525" s="39" t="s">
        <v>1547</v>
      </c>
    </row>
    <row r="526" spans="1:2" x14ac:dyDescent="0.35">
      <c r="A526" s="2">
        <v>17860</v>
      </c>
      <c r="B526" s="39" t="s">
        <v>1548</v>
      </c>
    </row>
    <row r="527" spans="1:2" x14ac:dyDescent="0.35">
      <c r="A527" s="2">
        <v>17875</v>
      </c>
      <c r="B527" s="39" t="s">
        <v>1549</v>
      </c>
    </row>
    <row r="528" spans="1:2" x14ac:dyDescent="0.35">
      <c r="A528" s="2">
        <v>17890</v>
      </c>
      <c r="B528" s="39" t="s">
        <v>1550</v>
      </c>
    </row>
    <row r="529" spans="1:2" x14ac:dyDescent="0.35">
      <c r="A529" s="2">
        <v>17905</v>
      </c>
      <c r="B529" s="39" t="s">
        <v>1551</v>
      </c>
    </row>
    <row r="530" spans="1:2" x14ac:dyDescent="0.35">
      <c r="A530" s="2">
        <v>17920</v>
      </c>
      <c r="B530" s="39" t="s">
        <v>1552</v>
      </c>
    </row>
    <row r="531" spans="1:2" x14ac:dyDescent="0.35">
      <c r="A531" s="2">
        <v>17935</v>
      </c>
      <c r="B531" s="39" t="s">
        <v>1553</v>
      </c>
    </row>
    <row r="532" spans="1:2" x14ac:dyDescent="0.35">
      <c r="A532" s="2">
        <v>17950</v>
      </c>
      <c r="B532" s="39" t="s">
        <v>1554</v>
      </c>
    </row>
    <row r="533" spans="1:2" x14ac:dyDescent="0.35">
      <c r="A533" s="2">
        <v>17965</v>
      </c>
      <c r="B533" s="39" t="s">
        <v>1555</v>
      </c>
    </row>
    <row r="534" spans="1:2" x14ac:dyDescent="0.35">
      <c r="A534" s="2">
        <v>17980</v>
      </c>
      <c r="B534" s="39" t="s">
        <v>1556</v>
      </c>
    </row>
    <row r="535" spans="1:2" x14ac:dyDescent="0.35">
      <c r="A535" s="2">
        <v>17995</v>
      </c>
      <c r="B535" s="39" t="s">
        <v>1557</v>
      </c>
    </row>
    <row r="536" spans="1:2" x14ac:dyDescent="0.35">
      <c r="A536" s="2">
        <v>18010</v>
      </c>
      <c r="B536" s="39" t="s">
        <v>1558</v>
      </c>
    </row>
    <row r="537" spans="1:2" x14ac:dyDescent="0.35">
      <c r="A537" s="2">
        <v>18025</v>
      </c>
      <c r="B537" s="39" t="s">
        <v>1559</v>
      </c>
    </row>
    <row r="538" spans="1:2" x14ac:dyDescent="0.35">
      <c r="A538" s="2">
        <v>18040</v>
      </c>
      <c r="B538" s="39" t="s">
        <v>1560</v>
      </c>
    </row>
    <row r="539" spans="1:2" x14ac:dyDescent="0.35">
      <c r="A539" s="2">
        <v>18055</v>
      </c>
      <c r="B539" s="39" t="s">
        <v>1561</v>
      </c>
    </row>
    <row r="540" spans="1:2" x14ac:dyDescent="0.35">
      <c r="A540" s="2">
        <v>18070</v>
      </c>
      <c r="B540" s="39" t="s">
        <v>1562</v>
      </c>
    </row>
    <row r="541" spans="1:2" x14ac:dyDescent="0.35">
      <c r="A541" s="2">
        <v>18085</v>
      </c>
      <c r="B541" s="39" t="s">
        <v>1563</v>
      </c>
    </row>
    <row r="542" spans="1:2" x14ac:dyDescent="0.35">
      <c r="A542" s="2">
        <v>18100</v>
      </c>
      <c r="B542" s="39" t="s">
        <v>1564</v>
      </c>
    </row>
    <row r="543" spans="1:2" x14ac:dyDescent="0.35">
      <c r="A543" s="2">
        <v>18115</v>
      </c>
      <c r="B543" s="39" t="s">
        <v>1565</v>
      </c>
    </row>
    <row r="544" spans="1:2" x14ac:dyDescent="0.35">
      <c r="A544" s="2">
        <v>18130</v>
      </c>
      <c r="B544" s="39" t="s">
        <v>1566</v>
      </c>
    </row>
    <row r="545" spans="1:2" x14ac:dyDescent="0.35">
      <c r="A545" s="2">
        <v>18145</v>
      </c>
      <c r="B545" s="39" t="s">
        <v>1567</v>
      </c>
    </row>
    <row r="546" spans="1:2" x14ac:dyDescent="0.35">
      <c r="A546" s="2">
        <v>18160</v>
      </c>
      <c r="B546" s="39" t="s">
        <v>1568</v>
      </c>
    </row>
    <row r="547" spans="1:2" x14ac:dyDescent="0.35">
      <c r="A547" s="2">
        <v>18175</v>
      </c>
      <c r="B547" s="39" t="s">
        <v>1569</v>
      </c>
    </row>
    <row r="548" spans="1:2" x14ac:dyDescent="0.35">
      <c r="A548" s="2">
        <v>18190</v>
      </c>
      <c r="B548" s="39" t="s">
        <v>1570</v>
      </c>
    </row>
    <row r="549" spans="1:2" x14ac:dyDescent="0.35">
      <c r="A549" s="2">
        <v>18205</v>
      </c>
      <c r="B549" s="39" t="s">
        <v>1571</v>
      </c>
    </row>
    <row r="550" spans="1:2" x14ac:dyDescent="0.35">
      <c r="A550" s="2">
        <v>18220</v>
      </c>
      <c r="B550" s="39" t="s">
        <v>1572</v>
      </c>
    </row>
    <row r="551" spans="1:2" x14ac:dyDescent="0.35">
      <c r="A551" s="2">
        <v>18235</v>
      </c>
      <c r="B551" s="39" t="s">
        <v>1573</v>
      </c>
    </row>
    <row r="552" spans="1:2" x14ac:dyDescent="0.35">
      <c r="A552" s="2">
        <v>18250</v>
      </c>
      <c r="B552" s="39" t="s">
        <v>1574</v>
      </c>
    </row>
    <row r="553" spans="1:2" x14ac:dyDescent="0.35">
      <c r="A553" s="2">
        <v>18265</v>
      </c>
      <c r="B553" s="39" t="s">
        <v>1575</v>
      </c>
    </row>
    <row r="554" spans="1:2" x14ac:dyDescent="0.35">
      <c r="A554" s="2">
        <v>18280</v>
      </c>
      <c r="B554" s="39" t="s">
        <v>1576</v>
      </c>
    </row>
    <row r="555" spans="1:2" x14ac:dyDescent="0.35">
      <c r="A555" s="2">
        <v>18295</v>
      </c>
      <c r="B555" s="39" t="s">
        <v>1577</v>
      </c>
    </row>
    <row r="556" spans="1:2" x14ac:dyDescent="0.35">
      <c r="A556" s="2">
        <v>18310</v>
      </c>
      <c r="B556" s="39" t="s">
        <v>1578</v>
      </c>
    </row>
    <row r="557" spans="1:2" x14ac:dyDescent="0.35">
      <c r="A557" s="2">
        <v>18325</v>
      </c>
      <c r="B557" s="39" t="s">
        <v>1579</v>
      </c>
    </row>
    <row r="558" spans="1:2" x14ac:dyDescent="0.35">
      <c r="A558" s="2">
        <v>18340</v>
      </c>
      <c r="B558" s="39" t="s">
        <v>1580</v>
      </c>
    </row>
    <row r="559" spans="1:2" x14ac:dyDescent="0.35">
      <c r="A559" s="2">
        <v>18355</v>
      </c>
      <c r="B559" s="39" t="s">
        <v>1581</v>
      </c>
    </row>
    <row r="560" spans="1:2" x14ac:dyDescent="0.35">
      <c r="A560" s="2">
        <v>18370</v>
      </c>
      <c r="B560" s="39" t="s">
        <v>1582</v>
      </c>
    </row>
    <row r="561" spans="1:2" x14ac:dyDescent="0.35">
      <c r="A561" s="2">
        <v>18385</v>
      </c>
      <c r="B561" s="39" t="s">
        <v>1583</v>
      </c>
    </row>
    <row r="562" spans="1:2" x14ac:dyDescent="0.35">
      <c r="A562" s="2">
        <v>18400</v>
      </c>
      <c r="B562" s="39" t="s">
        <v>1584</v>
      </c>
    </row>
    <row r="563" spans="1:2" x14ac:dyDescent="0.35">
      <c r="A563" s="2">
        <v>18415</v>
      </c>
      <c r="B563" s="39" t="s">
        <v>1585</v>
      </c>
    </row>
    <row r="564" spans="1:2" x14ac:dyDescent="0.35">
      <c r="A564" s="2">
        <v>18430</v>
      </c>
      <c r="B564" s="39" t="s">
        <v>1586</v>
      </c>
    </row>
    <row r="565" spans="1:2" x14ac:dyDescent="0.35">
      <c r="A565" s="2">
        <v>18445</v>
      </c>
      <c r="B565" s="39" t="s">
        <v>1587</v>
      </c>
    </row>
    <row r="566" spans="1:2" x14ac:dyDescent="0.35">
      <c r="A566" s="2">
        <v>18460</v>
      </c>
      <c r="B566" s="39" t="s">
        <v>1588</v>
      </c>
    </row>
    <row r="567" spans="1:2" x14ac:dyDescent="0.35">
      <c r="A567" s="2">
        <v>18475</v>
      </c>
      <c r="B567" s="39" t="s">
        <v>1589</v>
      </c>
    </row>
    <row r="568" spans="1:2" x14ac:dyDescent="0.35">
      <c r="A568" s="2">
        <v>18490</v>
      </c>
      <c r="B568" s="39" t="s">
        <v>1590</v>
      </c>
    </row>
    <row r="569" spans="1:2" x14ac:dyDescent="0.35">
      <c r="A569" s="2">
        <v>18505</v>
      </c>
      <c r="B569" s="39" t="s">
        <v>1591</v>
      </c>
    </row>
    <row r="570" spans="1:2" x14ac:dyDescent="0.35">
      <c r="A570" s="2">
        <v>18520</v>
      </c>
      <c r="B570" s="39" t="s">
        <v>1592</v>
      </c>
    </row>
    <row r="571" spans="1:2" x14ac:dyDescent="0.35">
      <c r="A571" s="2">
        <v>18535</v>
      </c>
      <c r="B571" s="39" t="s">
        <v>1593</v>
      </c>
    </row>
    <row r="572" spans="1:2" x14ac:dyDescent="0.35">
      <c r="A572" s="2">
        <v>18550</v>
      </c>
      <c r="B572" s="39" t="s">
        <v>1594</v>
      </c>
    </row>
    <row r="573" spans="1:2" x14ac:dyDescent="0.35">
      <c r="A573" s="2">
        <v>18565</v>
      </c>
      <c r="B573" s="39" t="s">
        <v>1595</v>
      </c>
    </row>
    <row r="574" spans="1:2" x14ac:dyDescent="0.35">
      <c r="A574" s="2">
        <v>18580</v>
      </c>
      <c r="B574" s="39" t="s">
        <v>1596</v>
      </c>
    </row>
    <row r="575" spans="1:2" x14ac:dyDescent="0.35">
      <c r="A575" s="2">
        <v>18595</v>
      </c>
      <c r="B575" s="39" t="s">
        <v>1597</v>
      </c>
    </row>
    <row r="576" spans="1:2" x14ac:dyDescent="0.35">
      <c r="A576" s="2">
        <v>18610</v>
      </c>
      <c r="B576" s="39" t="s">
        <v>1598</v>
      </c>
    </row>
    <row r="577" spans="1:2" x14ac:dyDescent="0.35">
      <c r="A577" s="2">
        <v>18625</v>
      </c>
      <c r="B577" s="39" t="s">
        <v>1599</v>
      </c>
    </row>
    <row r="578" spans="1:2" x14ac:dyDescent="0.35">
      <c r="A578" s="2">
        <v>18640</v>
      </c>
      <c r="B578" s="39" t="s">
        <v>1600</v>
      </c>
    </row>
    <row r="579" spans="1:2" x14ac:dyDescent="0.35">
      <c r="A579" s="2">
        <v>18655</v>
      </c>
      <c r="B579" s="39" t="s">
        <v>1601</v>
      </c>
    </row>
    <row r="580" spans="1:2" x14ac:dyDescent="0.35">
      <c r="A580" s="2">
        <v>18670</v>
      </c>
      <c r="B580" s="39" t="s">
        <v>1602</v>
      </c>
    </row>
    <row r="581" spans="1:2" x14ac:dyDescent="0.35">
      <c r="A581" s="2">
        <v>18685</v>
      </c>
      <c r="B581" s="39" t="s">
        <v>1603</v>
      </c>
    </row>
    <row r="582" spans="1:2" x14ac:dyDescent="0.35">
      <c r="A582" s="2">
        <v>18700</v>
      </c>
      <c r="B582" s="39" t="s">
        <v>1604</v>
      </c>
    </row>
    <row r="583" spans="1:2" x14ac:dyDescent="0.35">
      <c r="A583" s="2">
        <v>18715</v>
      </c>
      <c r="B583" s="39" t="s">
        <v>1605</v>
      </c>
    </row>
    <row r="584" spans="1:2" x14ac:dyDescent="0.35">
      <c r="A584" s="2">
        <v>18730</v>
      </c>
      <c r="B584" s="39" t="s">
        <v>1606</v>
      </c>
    </row>
    <row r="585" spans="1:2" x14ac:dyDescent="0.35">
      <c r="A585" s="2">
        <v>18745</v>
      </c>
      <c r="B585" s="39" t="s">
        <v>1607</v>
      </c>
    </row>
    <row r="586" spans="1:2" x14ac:dyDescent="0.35">
      <c r="A586" s="2">
        <v>18760</v>
      </c>
      <c r="B586" s="39" t="s">
        <v>1608</v>
      </c>
    </row>
    <row r="587" spans="1:2" x14ac:dyDescent="0.35">
      <c r="A587" s="2">
        <v>18775</v>
      </c>
      <c r="B587" s="39" t="s">
        <v>1609</v>
      </c>
    </row>
    <row r="588" spans="1:2" x14ac:dyDescent="0.35">
      <c r="A588" s="2">
        <v>18790</v>
      </c>
      <c r="B588" s="39" t="s">
        <v>1610</v>
      </c>
    </row>
    <row r="589" spans="1:2" x14ac:dyDescent="0.35">
      <c r="A589" s="2">
        <v>18805</v>
      </c>
      <c r="B589" s="39" t="s">
        <v>1611</v>
      </c>
    </row>
    <row r="590" spans="1:2" x14ac:dyDescent="0.35">
      <c r="A590" s="2">
        <v>18820</v>
      </c>
      <c r="B590" s="39" t="s">
        <v>1612</v>
      </c>
    </row>
    <row r="591" spans="1:2" x14ac:dyDescent="0.35">
      <c r="A591" s="2">
        <v>18835</v>
      </c>
      <c r="B591" s="39" t="s">
        <v>1613</v>
      </c>
    </row>
    <row r="592" spans="1:2" x14ac:dyDescent="0.35">
      <c r="A592" s="2">
        <v>18850</v>
      </c>
      <c r="B592" s="39" t="s">
        <v>1614</v>
      </c>
    </row>
    <row r="593" spans="1:2" x14ac:dyDescent="0.35">
      <c r="A593" s="2">
        <v>18865</v>
      </c>
      <c r="B593" s="39" t="s">
        <v>1615</v>
      </c>
    </row>
    <row r="594" spans="1:2" x14ac:dyDescent="0.35">
      <c r="A594" s="2">
        <v>18880</v>
      </c>
      <c r="B594" s="39" t="s">
        <v>1616</v>
      </c>
    </row>
    <row r="595" spans="1:2" x14ac:dyDescent="0.35">
      <c r="A595" s="2">
        <v>18895</v>
      </c>
      <c r="B595" s="39" t="s">
        <v>1617</v>
      </c>
    </row>
    <row r="596" spans="1:2" x14ac:dyDescent="0.35">
      <c r="A596" s="2">
        <v>18910</v>
      </c>
      <c r="B596" s="39" t="s">
        <v>1618</v>
      </c>
    </row>
    <row r="597" spans="1:2" x14ac:dyDescent="0.35">
      <c r="A597" s="2">
        <v>18925</v>
      </c>
      <c r="B597" s="39" t="s">
        <v>1619</v>
      </c>
    </row>
    <row r="598" spans="1:2" x14ac:dyDescent="0.35">
      <c r="A598" s="2">
        <v>18940</v>
      </c>
      <c r="B598" s="39" t="s">
        <v>1620</v>
      </c>
    </row>
    <row r="599" spans="1:2" x14ac:dyDescent="0.35">
      <c r="A599" s="2">
        <v>18955</v>
      </c>
      <c r="B599" s="39" t="s">
        <v>1621</v>
      </c>
    </row>
    <row r="600" spans="1:2" x14ac:dyDescent="0.35">
      <c r="A600" s="2">
        <v>18970</v>
      </c>
      <c r="B600" s="39" t="s">
        <v>1622</v>
      </c>
    </row>
    <row r="601" spans="1:2" x14ac:dyDescent="0.35">
      <c r="A601" s="2">
        <v>18985</v>
      </c>
      <c r="B601" s="39" t="s">
        <v>1623</v>
      </c>
    </row>
    <row r="602" spans="1:2" x14ac:dyDescent="0.35">
      <c r="A602" s="2">
        <v>19000</v>
      </c>
      <c r="B602" s="39" t="s">
        <v>1624</v>
      </c>
    </row>
    <row r="603" spans="1:2" x14ac:dyDescent="0.35">
      <c r="A603" s="2">
        <v>19015</v>
      </c>
      <c r="B603" s="39" t="s">
        <v>1625</v>
      </c>
    </row>
    <row r="604" spans="1:2" x14ac:dyDescent="0.35">
      <c r="A604" s="2">
        <v>19030</v>
      </c>
      <c r="B604" s="39" t="s">
        <v>1626</v>
      </c>
    </row>
    <row r="605" spans="1:2" x14ac:dyDescent="0.35">
      <c r="A605" s="2">
        <v>19045</v>
      </c>
      <c r="B605" s="39" t="s">
        <v>1627</v>
      </c>
    </row>
    <row r="606" spans="1:2" x14ac:dyDescent="0.35">
      <c r="A606" s="2">
        <v>19060</v>
      </c>
      <c r="B606" s="39" t="s">
        <v>1628</v>
      </c>
    </row>
    <row r="607" spans="1:2" x14ac:dyDescent="0.35">
      <c r="A607" s="2">
        <v>19075</v>
      </c>
      <c r="B607" s="39" t="s">
        <v>1629</v>
      </c>
    </row>
    <row r="608" spans="1:2" x14ac:dyDescent="0.35">
      <c r="A608" s="2">
        <v>19090</v>
      </c>
      <c r="B608" s="39" t="s">
        <v>1630</v>
      </c>
    </row>
    <row r="609" spans="1:2" x14ac:dyDescent="0.35">
      <c r="A609" s="2">
        <v>19105</v>
      </c>
      <c r="B609" s="39" t="s">
        <v>1631</v>
      </c>
    </row>
    <row r="610" spans="1:2" x14ac:dyDescent="0.35">
      <c r="A610" s="2">
        <v>19120</v>
      </c>
      <c r="B610" s="39" t="s">
        <v>1632</v>
      </c>
    </row>
    <row r="611" spans="1:2" x14ac:dyDescent="0.35">
      <c r="A611" s="2">
        <v>19135</v>
      </c>
      <c r="B611" s="39" t="s">
        <v>1633</v>
      </c>
    </row>
    <row r="612" spans="1:2" x14ac:dyDescent="0.35">
      <c r="A612" s="2">
        <v>19150</v>
      </c>
      <c r="B612" s="39" t="s">
        <v>1634</v>
      </c>
    </row>
    <row r="613" spans="1:2" x14ac:dyDescent="0.35">
      <c r="A613" s="2">
        <v>19165</v>
      </c>
      <c r="B613" s="39" t="s">
        <v>1635</v>
      </c>
    </row>
    <row r="614" spans="1:2" x14ac:dyDescent="0.35">
      <c r="A614" s="2">
        <v>19180</v>
      </c>
      <c r="B614" s="39" t="s">
        <v>1636</v>
      </c>
    </row>
    <row r="615" spans="1:2" x14ac:dyDescent="0.35">
      <c r="A615" s="2">
        <v>19195</v>
      </c>
      <c r="B615" s="39" t="s">
        <v>1637</v>
      </c>
    </row>
    <row r="616" spans="1:2" x14ac:dyDescent="0.35">
      <c r="A616" s="2">
        <v>19210</v>
      </c>
      <c r="B616" s="39" t="s">
        <v>1638</v>
      </c>
    </row>
    <row r="617" spans="1:2" x14ac:dyDescent="0.35">
      <c r="A617" s="2">
        <v>19225</v>
      </c>
      <c r="B617" s="39" t="s">
        <v>1639</v>
      </c>
    </row>
    <row r="618" spans="1:2" x14ac:dyDescent="0.35">
      <c r="A618" s="2">
        <v>19240</v>
      </c>
      <c r="B618" s="39" t="s">
        <v>1640</v>
      </c>
    </row>
    <row r="619" spans="1:2" x14ac:dyDescent="0.35">
      <c r="A619" s="2">
        <v>19255</v>
      </c>
      <c r="B619" s="39" t="s">
        <v>1641</v>
      </c>
    </row>
    <row r="620" spans="1:2" x14ac:dyDescent="0.35">
      <c r="A620" s="2">
        <v>19270</v>
      </c>
      <c r="B620" s="39" t="s">
        <v>1642</v>
      </c>
    </row>
    <row r="621" spans="1:2" x14ac:dyDescent="0.35">
      <c r="A621" s="2">
        <v>19285</v>
      </c>
      <c r="B621" s="39" t="s">
        <v>1643</v>
      </c>
    </row>
    <row r="622" spans="1:2" x14ac:dyDescent="0.35">
      <c r="A622" s="2">
        <v>19300</v>
      </c>
      <c r="B622" s="39" t="s">
        <v>1644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D5FF-DC13-44E5-BE32-F992EEE44C24}">
  <dimension ref="A1:B11"/>
  <sheetViews>
    <sheetView workbookViewId="0"/>
  </sheetViews>
  <sheetFormatPr defaultColWidth="10.6640625" defaultRowHeight="15.5" x14ac:dyDescent="0.35"/>
  <cols>
    <col min="2" max="2" width="27.5" customWidth="1"/>
  </cols>
  <sheetData>
    <row r="1" spans="1:2" x14ac:dyDescent="0.35">
      <c r="A1" s="40" t="s">
        <v>2</v>
      </c>
      <c r="B1" s="41" t="s">
        <v>1645</v>
      </c>
    </row>
    <row r="2" spans="1:2" x14ac:dyDescent="0.35">
      <c r="A2" s="24">
        <v>0</v>
      </c>
      <c r="B2" t="s">
        <v>1024</v>
      </c>
    </row>
    <row r="3" spans="1:2" x14ac:dyDescent="0.35">
      <c r="A3" s="42">
        <v>10</v>
      </c>
      <c r="B3" s="43" t="s">
        <v>1646</v>
      </c>
    </row>
    <row r="4" spans="1:2" x14ac:dyDescent="0.35">
      <c r="A4" s="42">
        <v>20</v>
      </c>
      <c r="B4" s="43" t="s">
        <v>1647</v>
      </c>
    </row>
    <row r="5" spans="1:2" x14ac:dyDescent="0.35">
      <c r="A5" s="42">
        <v>30</v>
      </c>
      <c r="B5" s="43" t="s">
        <v>1648</v>
      </c>
    </row>
    <row r="6" spans="1:2" x14ac:dyDescent="0.35">
      <c r="A6" s="42">
        <v>40</v>
      </c>
      <c r="B6" s="43" t="s">
        <v>1649</v>
      </c>
    </row>
    <row r="7" spans="1:2" x14ac:dyDescent="0.35">
      <c r="A7" s="42">
        <v>50</v>
      </c>
      <c r="B7" s="43" t="s">
        <v>1650</v>
      </c>
    </row>
    <row r="8" spans="1:2" x14ac:dyDescent="0.35">
      <c r="A8" s="42">
        <v>60</v>
      </c>
      <c r="B8" s="43" t="s">
        <v>1651</v>
      </c>
    </row>
    <row r="9" spans="1:2" x14ac:dyDescent="0.35">
      <c r="A9" s="42">
        <v>70</v>
      </c>
      <c r="B9" s="43" t="s">
        <v>1652</v>
      </c>
    </row>
    <row r="10" spans="1:2" x14ac:dyDescent="0.35">
      <c r="A10" s="42">
        <v>80</v>
      </c>
      <c r="B10" s="43" t="s">
        <v>1653</v>
      </c>
    </row>
    <row r="11" spans="1:2" x14ac:dyDescent="0.35">
      <c r="A11" s="42">
        <v>90</v>
      </c>
      <c r="B11" s="43" t="s">
        <v>1654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006"/>
  <sheetViews>
    <sheetView tabSelected="1" zoomScaleNormal="100" zoomScalePageLayoutView="125" workbookViewId="0">
      <pane ySplit="1" topLeftCell="A2" activePane="bottomLeft" state="frozen"/>
      <selection pane="bottomLeft" activeCell="H999" sqref="H999"/>
    </sheetView>
  </sheetViews>
  <sheetFormatPr defaultColWidth="8.83203125" defaultRowHeight="15.5" x14ac:dyDescent="0.35"/>
  <cols>
    <col min="1" max="1" width="7.1640625" style="13" customWidth="1"/>
    <col min="2" max="2" width="47" style="13" customWidth="1"/>
    <col min="3" max="3" width="9" style="14" customWidth="1"/>
    <col min="4" max="4" width="14.58203125" style="14" bestFit="1" customWidth="1"/>
    <col min="5" max="5" width="10.33203125" customWidth="1"/>
    <col min="6" max="7" width="11.1640625" style="13" customWidth="1"/>
    <col min="8" max="8" width="9" customWidth="1"/>
    <col min="9" max="9" width="18.6640625" style="15" customWidth="1"/>
    <col min="10" max="10" width="16.9140625" style="10" customWidth="1"/>
    <col min="11" max="11" width="10.83203125" style="11" customWidth="1"/>
    <col min="12" max="12" width="14.5" style="10" customWidth="1"/>
    <col min="14" max="14" width="14.33203125" bestFit="1" customWidth="1"/>
    <col min="15" max="16" width="8.83203125" style="12"/>
    <col min="17" max="16384" width="8.83203125" style="13"/>
  </cols>
  <sheetData>
    <row r="1" spans="1:16" s="1" customFormat="1" ht="32.4" customHeight="1" x14ac:dyDescent="0.35">
      <c r="A1" s="34" t="s">
        <v>0</v>
      </c>
      <c r="B1" s="46" t="s">
        <v>1</v>
      </c>
      <c r="C1" s="35" t="s">
        <v>2</v>
      </c>
      <c r="D1" s="45" t="s">
        <v>1656</v>
      </c>
      <c r="E1" s="34" t="s">
        <v>3</v>
      </c>
      <c r="F1" s="34" t="s">
        <v>4</v>
      </c>
      <c r="G1" s="46" t="s">
        <v>1657</v>
      </c>
      <c r="H1" s="36" t="s">
        <v>5</v>
      </c>
      <c r="I1" s="47" t="s">
        <v>6</v>
      </c>
      <c r="J1" s="37" t="s">
        <v>7</v>
      </c>
      <c r="K1" s="37" t="s">
        <v>1009</v>
      </c>
      <c r="L1" s="37" t="s">
        <v>8</v>
      </c>
      <c r="O1" s="4"/>
      <c r="P1" s="4"/>
    </row>
    <row r="2" spans="1:16" x14ac:dyDescent="0.35">
      <c r="A2" s="5">
        <v>1</v>
      </c>
      <c r="B2" s="6" t="s">
        <v>9</v>
      </c>
      <c r="C2" s="7">
        <v>80</v>
      </c>
      <c r="D2" s="7" t="str">
        <f>VLOOKUP(C2,'5-Genre Codes'!$A$1:$B$11,2,FALSE)</f>
        <v>Science Fiction</v>
      </c>
      <c r="E2" s="8">
        <v>2009</v>
      </c>
      <c r="F2" s="6">
        <v>12235</v>
      </c>
      <c r="G2" s="6" t="str">
        <f>VLOOKUP(F2,'4-Actor Codes'!$A$1:$B$622,2,FALSE)</f>
        <v>Dileep Rao</v>
      </c>
      <c r="H2" s="8" t="s">
        <v>10</v>
      </c>
      <c r="I2" s="9">
        <v>760507625</v>
      </c>
      <c r="J2" s="10">
        <v>2023411357</v>
      </c>
      <c r="L2" s="10">
        <v>425000000</v>
      </c>
    </row>
    <row r="3" spans="1:16" ht="17.5" customHeight="1" x14ac:dyDescent="0.35">
      <c r="A3" s="5">
        <v>2</v>
      </c>
      <c r="B3" s="6" t="s">
        <v>11</v>
      </c>
      <c r="C3" s="7">
        <v>50</v>
      </c>
      <c r="D3" s="7" t="str">
        <f>VLOOKUP(C3,'5-Genre Codes'!$A$1:$B$11,2,FALSE)</f>
        <v>Historical Fiction</v>
      </c>
      <c r="E3" s="8">
        <v>1997</v>
      </c>
      <c r="F3" s="6">
        <v>15205</v>
      </c>
      <c r="G3" s="6" t="str">
        <f>VLOOKUP(F3,'4-Actor Codes'!$A$1:$B$622,2,FALSE)</f>
        <v>Leonardo DiCaprio</v>
      </c>
      <c r="H3" s="8" t="s">
        <v>10</v>
      </c>
      <c r="I3" s="9">
        <v>658672302</v>
      </c>
      <c r="J3" s="10">
        <v>1548943366</v>
      </c>
      <c r="L3" s="10">
        <v>200000000</v>
      </c>
    </row>
    <row r="4" spans="1:16" x14ac:dyDescent="0.35">
      <c r="A4" s="5">
        <v>3</v>
      </c>
      <c r="B4" s="6" t="s">
        <v>12</v>
      </c>
      <c r="C4" s="7">
        <v>80</v>
      </c>
      <c r="D4" s="7" t="str">
        <f>VLOOKUP(C4,'5-Genre Codes'!$A$1:$B$11,2,FALSE)</f>
        <v>Science Fiction</v>
      </c>
      <c r="E4" s="8">
        <v>2015</v>
      </c>
      <c r="F4" s="6">
        <v>11410</v>
      </c>
      <c r="G4" s="6" t="str">
        <f>VLOOKUP(F4,'4-Actor Codes'!$A$1:$B$622,2,FALSE)</f>
        <v>Chris Pratt</v>
      </c>
      <c r="H4" s="8" t="s">
        <v>13</v>
      </c>
      <c r="I4" s="9">
        <v>652188220</v>
      </c>
      <c r="J4" s="10">
        <v>1016713244</v>
      </c>
      <c r="L4" s="10">
        <v>215000000</v>
      </c>
    </row>
    <row r="5" spans="1:16" ht="31" x14ac:dyDescent="0.35">
      <c r="A5" s="5">
        <v>4</v>
      </c>
      <c r="B5" s="6" t="s">
        <v>14</v>
      </c>
      <c r="C5" s="7">
        <v>90</v>
      </c>
      <c r="D5" s="7" t="str">
        <f>VLOOKUP(C5,'5-Genre Codes'!$A$1:$B$11,2,FALSE)</f>
        <v>Super Hero</v>
      </c>
      <c r="E5" s="8">
        <v>2012</v>
      </c>
      <c r="F5" s="6">
        <v>17830</v>
      </c>
      <c r="G5" s="6" t="str">
        <f>VLOOKUP(F5,'4-Actor Codes'!$A$1:$B$622,2,FALSE)</f>
        <v>Scarlett Johansson</v>
      </c>
      <c r="H5" s="8" t="s">
        <v>10</v>
      </c>
      <c r="I5" s="9">
        <v>623279547</v>
      </c>
      <c r="J5" s="10">
        <v>896200000</v>
      </c>
      <c r="L5" s="10">
        <v>225000000</v>
      </c>
    </row>
    <row r="6" spans="1:16" ht="31" x14ac:dyDescent="0.35">
      <c r="A6" s="5">
        <v>5</v>
      </c>
      <c r="B6" s="6" t="s">
        <v>15</v>
      </c>
      <c r="C6" s="7">
        <v>90</v>
      </c>
      <c r="D6" s="7" t="str">
        <f>VLOOKUP(C6,'5-Genre Codes'!$A$1:$B$11,2,FALSE)</f>
        <v>Super Hero</v>
      </c>
      <c r="E6" s="8">
        <v>2008</v>
      </c>
      <c r="F6" s="6">
        <v>11545</v>
      </c>
      <c r="G6" s="6" t="str">
        <f>VLOOKUP(F6,'4-Actor Codes'!$A$1:$B$622,2,FALSE)</f>
        <v>Cillian Murphy</v>
      </c>
      <c r="H6" s="8" t="s">
        <v>13</v>
      </c>
      <c r="I6" s="9">
        <v>533345358</v>
      </c>
      <c r="J6" s="10">
        <v>469546000</v>
      </c>
      <c r="L6" s="10">
        <v>185000000</v>
      </c>
    </row>
    <row r="7" spans="1:16" ht="31" x14ac:dyDescent="0.35">
      <c r="A7" s="5">
        <v>6</v>
      </c>
      <c r="B7" s="6" t="s">
        <v>16</v>
      </c>
      <c r="C7" s="7">
        <v>80</v>
      </c>
      <c r="D7" s="7" t="str">
        <f>VLOOKUP(C7,'5-Genre Codes'!$A$1:$B$11,2,FALSE)</f>
        <v>Science Fiction</v>
      </c>
      <c r="E7" s="8">
        <v>1999</v>
      </c>
      <c r="F7" s="6">
        <v>10270</v>
      </c>
      <c r="G7" s="6" t="str">
        <f>VLOOKUP(F7,'4-Actor Codes'!$A$1:$B$622,2,FALSE)</f>
        <v>Andrew Secombe</v>
      </c>
      <c r="H7" s="8" t="s">
        <v>13</v>
      </c>
      <c r="I7" s="9">
        <v>474544677</v>
      </c>
      <c r="J7" s="10">
        <v>552500000</v>
      </c>
      <c r="L7" s="10">
        <v>115000000</v>
      </c>
      <c r="N7" s="22"/>
    </row>
    <row r="8" spans="1:16" ht="31" x14ac:dyDescent="0.35">
      <c r="A8" s="5">
        <v>7</v>
      </c>
      <c r="B8" s="6" t="s">
        <v>17</v>
      </c>
      <c r="C8" s="7">
        <v>80</v>
      </c>
      <c r="D8" s="7" t="str">
        <f>VLOOKUP(C8,'5-Genre Codes'!$A$1:$B$11,2,FALSE)</f>
        <v>Science Fiction</v>
      </c>
      <c r="E8" s="8">
        <v>1977</v>
      </c>
      <c r="F8" s="6">
        <v>13120</v>
      </c>
      <c r="G8" s="6" t="str">
        <f>VLOOKUP(F8,'4-Actor Codes'!$A$1:$B$622,2,FALSE)</f>
        <v>Harrison Ford</v>
      </c>
      <c r="H8" s="8" t="s">
        <v>10</v>
      </c>
      <c r="I8" s="9">
        <v>460935665</v>
      </c>
      <c r="J8" s="10">
        <v>325600000</v>
      </c>
      <c r="L8" s="10">
        <v>11000000</v>
      </c>
    </row>
    <row r="9" spans="1:16" x14ac:dyDescent="0.35">
      <c r="A9" s="5">
        <v>8</v>
      </c>
      <c r="B9" s="6" t="s">
        <v>18</v>
      </c>
      <c r="C9" s="7">
        <v>90</v>
      </c>
      <c r="D9" s="7" t="str">
        <f>VLOOKUP(C9,'5-Genre Codes'!$A$1:$B$11,2,FALSE)</f>
        <v>Super Hero</v>
      </c>
      <c r="E9" s="8">
        <v>2015</v>
      </c>
      <c r="F9" s="6">
        <v>11575</v>
      </c>
      <c r="G9" s="6" t="str">
        <f>VLOOKUP(F9,'4-Actor Codes'!$A$1:$B$622,2,FALSE)</f>
        <v>Claudia Kim</v>
      </c>
      <c r="H9" s="8" t="s">
        <v>13</v>
      </c>
      <c r="I9" s="9">
        <v>459005868</v>
      </c>
      <c r="J9" s="10">
        <v>945700000</v>
      </c>
      <c r="L9" s="10">
        <v>250000000</v>
      </c>
    </row>
    <row r="10" spans="1:16" ht="31" x14ac:dyDescent="0.35">
      <c r="A10" s="5">
        <v>9</v>
      </c>
      <c r="B10" s="6" t="s">
        <v>19</v>
      </c>
      <c r="C10" s="7">
        <v>90</v>
      </c>
      <c r="D10" s="7" t="str">
        <f>VLOOKUP(C10,'5-Genre Codes'!$A$1:$B$11,2,FALSE)</f>
        <v>Super Hero</v>
      </c>
      <c r="E10" s="8">
        <v>2012</v>
      </c>
      <c r="F10" s="6">
        <v>11455</v>
      </c>
      <c r="G10" s="6" t="str">
        <f>VLOOKUP(F10,'4-Actor Codes'!$A$1:$B$622,2,FALSE)</f>
        <v>Christian Bale</v>
      </c>
      <c r="H10" s="8" t="s">
        <v>13</v>
      </c>
      <c r="I10" s="9">
        <v>448139099</v>
      </c>
      <c r="J10" s="10">
        <v>636300000</v>
      </c>
      <c r="L10" s="10">
        <v>275000000</v>
      </c>
    </row>
    <row r="11" spans="1:16" x14ac:dyDescent="0.35">
      <c r="A11" s="5">
        <v>10</v>
      </c>
      <c r="B11" s="6" t="s">
        <v>20</v>
      </c>
      <c r="C11" s="7">
        <v>60</v>
      </c>
      <c r="D11" s="7" t="str">
        <f>VLOOKUP(C11,'5-Genre Codes'!$A$1:$B$11,2,FALSE)</f>
        <v>Kids Fiction</v>
      </c>
      <c r="E11" s="8">
        <v>2004</v>
      </c>
      <c r="F11" s="6">
        <v>16180</v>
      </c>
      <c r="G11" s="6" t="str">
        <f>VLOOKUP(F11,'4-Actor Codes'!$A$1:$B$622,2,FALSE)</f>
        <v>Mike Myers</v>
      </c>
      <c r="H11" s="8" t="s">
        <v>13</v>
      </c>
      <c r="I11" s="9">
        <v>436471036</v>
      </c>
      <c r="J11" s="10">
        <v>495781885</v>
      </c>
      <c r="L11" s="10">
        <v>70000000</v>
      </c>
    </row>
    <row r="12" spans="1:16" ht="31" x14ac:dyDescent="0.35">
      <c r="A12" s="5">
        <v>11</v>
      </c>
      <c r="B12" s="6" t="s">
        <v>21</v>
      </c>
      <c r="C12" s="7">
        <v>60</v>
      </c>
      <c r="D12" s="7" t="str">
        <f>VLOOKUP(C12,'5-Genre Codes'!$A$1:$B$11,2,FALSE)</f>
        <v>Kids Fiction</v>
      </c>
      <c r="E12" s="8">
        <v>1982</v>
      </c>
      <c r="F12" s="6">
        <v>16000</v>
      </c>
      <c r="G12" s="6" t="str">
        <f>VLOOKUP(F12,'4-Actor Codes'!$A$1:$B$622,2,FALSE)</f>
        <v>Michael Durrell</v>
      </c>
      <c r="H12" s="8" t="s">
        <v>10</v>
      </c>
      <c r="I12" s="9">
        <v>434949459</v>
      </c>
      <c r="J12" s="10">
        <v>357854772</v>
      </c>
      <c r="L12" s="10">
        <v>10500000</v>
      </c>
    </row>
    <row r="13" spans="1:16" ht="46.5" x14ac:dyDescent="0.35">
      <c r="A13" s="5">
        <v>12</v>
      </c>
      <c r="B13" s="6" t="s">
        <v>22</v>
      </c>
      <c r="C13" s="7">
        <v>80</v>
      </c>
      <c r="D13" s="7" t="str">
        <f>VLOOKUP(C13,'5-Genre Codes'!$A$1:$B$11,2,FALSE)</f>
        <v>Science Fiction</v>
      </c>
      <c r="E13" s="8">
        <v>2013</v>
      </c>
      <c r="F13" s="6">
        <v>16960</v>
      </c>
      <c r="G13" s="6" t="str">
        <f>VLOOKUP(F13,'4-Actor Codes'!$A$1:$B$622,2,FALSE)</f>
        <v>Philip Seymour Hoffman</v>
      </c>
      <c r="H13" s="8" t="s">
        <v>13</v>
      </c>
      <c r="I13" s="9">
        <v>424668047</v>
      </c>
      <c r="J13" s="10">
        <v>440200000</v>
      </c>
      <c r="L13" s="10">
        <v>130000000</v>
      </c>
    </row>
    <row r="14" spans="1:16" ht="31" x14ac:dyDescent="0.35">
      <c r="A14" s="5">
        <v>13</v>
      </c>
      <c r="B14" s="6" t="s">
        <v>23</v>
      </c>
      <c r="C14" s="7">
        <v>40</v>
      </c>
      <c r="D14" s="7" t="str">
        <f>VLOOKUP(C14,'5-Genre Codes'!$A$1:$B$11,2,FALSE)</f>
        <v>Fantasy</v>
      </c>
      <c r="E14" s="8">
        <v>2006</v>
      </c>
      <c r="F14" s="6">
        <v>14350</v>
      </c>
      <c r="G14" s="6" t="str">
        <f>VLOOKUP(F14,'4-Actor Codes'!$A$1:$B$622,2,FALSE)</f>
        <v>Johnny Depp</v>
      </c>
      <c r="H14" s="8" t="s">
        <v>13</v>
      </c>
      <c r="I14" s="9">
        <v>423315812</v>
      </c>
      <c r="J14" s="10">
        <v>642900000</v>
      </c>
      <c r="L14" s="10">
        <v>225000000</v>
      </c>
    </row>
    <row r="15" spans="1:16" ht="31" x14ac:dyDescent="0.35">
      <c r="A15" s="5">
        <v>14</v>
      </c>
      <c r="B15" s="6" t="s">
        <v>24</v>
      </c>
      <c r="C15" s="7">
        <v>60</v>
      </c>
      <c r="D15" s="7" t="str">
        <f>VLOOKUP(C15,'5-Genre Codes'!$A$1:$B$11,2,FALSE)</f>
        <v>Kids Fiction</v>
      </c>
      <c r="E15" s="8">
        <v>1994</v>
      </c>
      <c r="F15" s="6">
        <v>17560</v>
      </c>
      <c r="G15" s="6" t="str">
        <f>VLOOKUP(F15,'4-Actor Codes'!$A$1:$B$622,2,FALSE)</f>
        <v>Rowan Atkinson</v>
      </c>
      <c r="H15" s="8" t="s">
        <v>10</v>
      </c>
      <c r="I15" s="9">
        <v>422780140</v>
      </c>
      <c r="J15" s="10">
        <v>564700000</v>
      </c>
      <c r="L15" s="10">
        <v>79300000</v>
      </c>
    </row>
    <row r="16" spans="1:16" x14ac:dyDescent="0.35">
      <c r="A16" s="5">
        <v>15</v>
      </c>
      <c r="B16" s="6" t="s">
        <v>25</v>
      </c>
      <c r="C16" s="7">
        <v>60</v>
      </c>
      <c r="D16" s="7" t="str">
        <f>VLOOKUP(C16,'5-Genre Codes'!$A$1:$B$11,2,FALSE)</f>
        <v>Kids Fiction</v>
      </c>
      <c r="E16" s="8">
        <v>2010</v>
      </c>
      <c r="F16" s="6">
        <v>18580</v>
      </c>
      <c r="G16" s="6" t="str">
        <f>VLOOKUP(F16,'4-Actor Codes'!$A$1:$B$622,2,FALSE)</f>
        <v>Tim Allen</v>
      </c>
      <c r="H16" s="8" t="s">
        <v>13</v>
      </c>
      <c r="I16" s="9">
        <v>415004880</v>
      </c>
      <c r="J16" s="10">
        <v>654813349</v>
      </c>
      <c r="L16" s="10">
        <v>200000000</v>
      </c>
    </row>
    <row r="17" spans="1:16" ht="31" x14ac:dyDescent="0.35">
      <c r="A17" s="5">
        <v>16</v>
      </c>
      <c r="B17" s="6" t="s">
        <v>26</v>
      </c>
      <c r="C17" s="7">
        <v>90</v>
      </c>
      <c r="D17" s="7" t="str">
        <f>VLOOKUP(C17,'5-Genre Codes'!$A$1:$B$11,2,FALSE)</f>
        <v>Super Hero</v>
      </c>
      <c r="E17" s="8">
        <v>2012</v>
      </c>
      <c r="F17" s="6">
        <v>17335</v>
      </c>
      <c r="G17" s="6" t="str">
        <f>VLOOKUP(F17,'4-Actor Codes'!$A$1:$B$622,2,FALSE)</f>
        <v>Robert Downey, Jr.</v>
      </c>
      <c r="H17" s="8" t="s">
        <v>13</v>
      </c>
      <c r="I17" s="9">
        <v>408992272</v>
      </c>
      <c r="J17" s="10">
        <v>806400000</v>
      </c>
      <c r="L17" s="10">
        <v>200000000</v>
      </c>
      <c r="M17" s="13"/>
      <c r="N17" s="13"/>
      <c r="O17" s="13"/>
      <c r="P17" s="13"/>
    </row>
    <row r="18" spans="1:16" x14ac:dyDescent="0.35">
      <c r="A18" s="5">
        <v>17</v>
      </c>
      <c r="B18" s="6" t="s">
        <v>27</v>
      </c>
      <c r="C18" s="7">
        <v>80</v>
      </c>
      <c r="D18" s="7" t="str">
        <f>VLOOKUP(C18,'5-Genre Codes'!$A$1:$B$11,2,FALSE)</f>
        <v>Science Fiction</v>
      </c>
      <c r="E18" s="8">
        <v>2011</v>
      </c>
      <c r="F18" s="6">
        <v>19120</v>
      </c>
      <c r="G18" s="6" t="str">
        <f>VLOOKUP(F18,'4-Actor Codes'!$A$1:$B$622,2,FALSE)</f>
        <v>Wes Bentley</v>
      </c>
      <c r="H18" s="8" t="s">
        <v>10</v>
      </c>
      <c r="I18" s="9">
        <v>408010692</v>
      </c>
      <c r="J18" s="10">
        <v>269912687</v>
      </c>
      <c r="L18" s="10">
        <v>80000000</v>
      </c>
      <c r="M18" s="13"/>
      <c r="N18" s="13"/>
      <c r="O18" s="13"/>
      <c r="P18" s="13"/>
    </row>
    <row r="19" spans="1:16" ht="31" x14ac:dyDescent="0.35">
      <c r="A19" s="5">
        <v>18</v>
      </c>
      <c r="B19" s="6" t="s">
        <v>28</v>
      </c>
      <c r="C19" s="7">
        <v>90</v>
      </c>
      <c r="D19" s="7" t="str">
        <f>VLOOKUP(C19,'5-Genre Codes'!$A$1:$B$11,2,FALSE)</f>
        <v>Super Hero</v>
      </c>
      <c r="E19" s="8">
        <v>2002</v>
      </c>
      <c r="F19" s="6">
        <v>18685</v>
      </c>
      <c r="G19" s="6" t="str">
        <f>VLOOKUP(F19,'4-Actor Codes'!$A$1:$B$622,2,FALSE)</f>
        <v>Tobey Maguire</v>
      </c>
      <c r="H19" s="8" t="s">
        <v>10</v>
      </c>
      <c r="I19" s="9">
        <v>403706375</v>
      </c>
      <c r="J19" s="10">
        <v>418000000</v>
      </c>
      <c r="L19" s="10">
        <v>139000000</v>
      </c>
      <c r="M19" s="13"/>
      <c r="N19" s="13"/>
      <c r="O19" s="13"/>
      <c r="P19" s="13"/>
    </row>
    <row r="20" spans="1:16" ht="31" x14ac:dyDescent="0.35">
      <c r="A20" s="5">
        <v>19</v>
      </c>
      <c r="B20" s="6" t="s">
        <v>29</v>
      </c>
      <c r="C20" s="7">
        <v>80</v>
      </c>
      <c r="D20" s="7" t="str">
        <f>VLOOKUP(C20,'5-Genre Codes'!$A$1:$B$11,2,FALSE)</f>
        <v>Science Fiction</v>
      </c>
      <c r="E20" s="8">
        <v>2009</v>
      </c>
      <c r="F20" s="6">
        <v>18055</v>
      </c>
      <c r="G20" s="6" t="str">
        <f>VLOOKUP(F20,'4-Actor Codes'!$A$1:$B$622,2,FALSE)</f>
        <v>Shia LaBeouf</v>
      </c>
      <c r="H20" s="8" t="s">
        <v>13</v>
      </c>
      <c r="I20" s="9">
        <v>402111870</v>
      </c>
      <c r="J20" s="10">
        <v>434407829</v>
      </c>
      <c r="L20" s="10">
        <v>210000000</v>
      </c>
      <c r="M20" s="13"/>
      <c r="N20" s="13"/>
      <c r="O20" s="13"/>
      <c r="P20" s="13"/>
    </row>
    <row r="21" spans="1:16" x14ac:dyDescent="0.35">
      <c r="A21" s="5">
        <v>20</v>
      </c>
      <c r="B21" s="6" t="s">
        <v>30</v>
      </c>
      <c r="C21" s="7">
        <v>60</v>
      </c>
      <c r="D21" s="7" t="str">
        <f>VLOOKUP(C21,'5-Genre Codes'!$A$1:$B$11,2,FALSE)</f>
        <v>Kids Fiction</v>
      </c>
      <c r="E21" s="8">
        <v>2013</v>
      </c>
      <c r="F21" s="6">
        <v>14995</v>
      </c>
      <c r="G21" s="6" t="str">
        <f>VLOOKUP(F21,'4-Actor Codes'!$A$1:$B$622,2,FALSE)</f>
        <v>Kristen Bell</v>
      </c>
      <c r="H21" s="8" t="s">
        <v>10</v>
      </c>
      <c r="I21" s="9">
        <v>400738009</v>
      </c>
      <c r="J21" s="10">
        <v>873496971</v>
      </c>
      <c r="L21" s="10">
        <v>150000000</v>
      </c>
      <c r="M21" s="13"/>
      <c r="N21" s="13"/>
      <c r="O21" s="13"/>
      <c r="P21" s="13"/>
    </row>
    <row r="22" spans="1:16" ht="31" x14ac:dyDescent="0.35">
      <c r="A22" s="5">
        <v>21</v>
      </c>
      <c r="B22" s="6" t="s">
        <v>31</v>
      </c>
      <c r="C22" s="7">
        <v>80</v>
      </c>
      <c r="D22" s="7" t="str">
        <f>VLOOKUP(C22,'5-Genre Codes'!$A$1:$B$11,2,FALSE)</f>
        <v>Science Fiction</v>
      </c>
      <c r="E22" s="8">
        <v>1993</v>
      </c>
      <c r="F22" s="6">
        <v>16165</v>
      </c>
      <c r="G22" s="6" t="str">
        <f>VLOOKUP(F22,'4-Actor Codes'!$A$1:$B$622,2,FALSE)</f>
        <v>Miguel Sandoval</v>
      </c>
      <c r="H22" s="8" t="s">
        <v>10</v>
      </c>
      <c r="I22" s="9">
        <v>395708305</v>
      </c>
      <c r="J22" s="10">
        <v>643104279</v>
      </c>
      <c r="L22" s="10">
        <v>63000000</v>
      </c>
      <c r="M22" s="13"/>
      <c r="N22" s="13"/>
      <c r="O22" s="13"/>
      <c r="P22" s="13"/>
    </row>
    <row r="23" spans="1:16" ht="31" x14ac:dyDescent="0.35">
      <c r="A23" s="5">
        <v>22</v>
      </c>
      <c r="B23" s="6" t="s">
        <v>32</v>
      </c>
      <c r="C23" s="7">
        <v>40</v>
      </c>
      <c r="D23" s="7" t="str">
        <f>VLOOKUP(C23,'5-Genre Codes'!$A$1:$B$11,2,FALSE)</f>
        <v>Fantasy</v>
      </c>
      <c r="E23" s="8">
        <v>2011</v>
      </c>
      <c r="F23" s="6">
        <v>14485</v>
      </c>
      <c r="G23" s="6" t="str">
        <f>VLOOKUP(F23,'4-Actor Codes'!$A$1:$B$622,2,FALSE)</f>
        <v>Josh Herdman</v>
      </c>
      <c r="H23" s="8" t="s">
        <v>13</v>
      </c>
      <c r="I23" s="9">
        <v>381011219</v>
      </c>
      <c r="J23" s="10">
        <v>960500000</v>
      </c>
      <c r="L23" s="10">
        <v>125000000</v>
      </c>
      <c r="M23" s="13"/>
      <c r="N23" s="13"/>
      <c r="O23" s="13"/>
      <c r="P23" s="13"/>
    </row>
    <row r="24" spans="1:16" x14ac:dyDescent="0.35">
      <c r="A24" s="5">
        <v>23</v>
      </c>
      <c r="B24" s="6" t="s">
        <v>33</v>
      </c>
      <c r="C24" s="7">
        <v>60</v>
      </c>
      <c r="D24" s="7" t="str">
        <f>VLOOKUP(C24,'5-Genre Codes'!$A$1:$B$11,2,FALSE)</f>
        <v>Kids Fiction</v>
      </c>
      <c r="E24" s="8">
        <v>2003</v>
      </c>
      <c r="F24" s="6">
        <v>14425</v>
      </c>
      <c r="G24" s="6" t="str">
        <f>VLOOKUP(F24,'4-Actor Codes'!$A$1:$B$622,2,FALSE)</f>
        <v>Jordy Ranft</v>
      </c>
      <c r="H24" s="8" t="s">
        <v>10</v>
      </c>
      <c r="I24" s="9">
        <v>380529370</v>
      </c>
      <c r="J24" s="10">
        <v>555900000</v>
      </c>
      <c r="L24" s="10">
        <v>94000000</v>
      </c>
      <c r="M24" s="13"/>
      <c r="N24" s="13"/>
      <c r="O24" s="13"/>
      <c r="P24" s="13"/>
    </row>
    <row r="25" spans="1:16" x14ac:dyDescent="0.35">
      <c r="A25" s="5">
        <v>24</v>
      </c>
      <c r="B25" s="6" t="s">
        <v>34</v>
      </c>
      <c r="C25" s="7">
        <v>80</v>
      </c>
      <c r="D25" s="7" t="str">
        <f>VLOOKUP(C25,'5-Genre Codes'!$A$1:$B$11,2,FALSE)</f>
        <v>Science Fiction</v>
      </c>
      <c r="E25" s="8">
        <v>2005</v>
      </c>
      <c r="F25" s="6">
        <v>13885</v>
      </c>
      <c r="G25" s="6" t="str">
        <f>VLOOKUP(F25,'4-Actor Codes'!$A$1:$B$622,2,FALSE)</f>
        <v>Jay Laga'aia</v>
      </c>
      <c r="H25" s="8" t="s">
        <v>13</v>
      </c>
      <c r="I25" s="9">
        <v>380270577</v>
      </c>
      <c r="J25" s="10">
        <v>468728300</v>
      </c>
      <c r="L25" s="10">
        <v>115000000</v>
      </c>
      <c r="M25" s="13"/>
      <c r="N25" s="13"/>
      <c r="O25" s="13"/>
      <c r="P25" s="13"/>
    </row>
    <row r="26" spans="1:16" x14ac:dyDescent="0.35">
      <c r="A26" s="5">
        <v>25</v>
      </c>
      <c r="B26" s="6" t="s">
        <v>35</v>
      </c>
      <c r="C26" s="7">
        <v>40</v>
      </c>
      <c r="D26" s="7" t="str">
        <f>VLOOKUP(C26,'5-Genre Codes'!$A$1:$B$11,2,FALSE)</f>
        <v>Fantasy</v>
      </c>
      <c r="E26" s="8">
        <v>2003</v>
      </c>
      <c r="F26" s="6">
        <v>12445</v>
      </c>
      <c r="G26" s="6" t="str">
        <f>VLOOKUP(F26,'4-Actor Codes'!$A$1:$B$622,2,FALSE)</f>
        <v>Elijah Wood</v>
      </c>
      <c r="H26" s="8" t="s">
        <v>13</v>
      </c>
      <c r="I26" s="9">
        <v>377845905</v>
      </c>
      <c r="J26" s="10">
        <v>763562762</v>
      </c>
      <c r="K26" s="11" t="s">
        <v>1010</v>
      </c>
      <c r="L26" s="10">
        <v>94000000</v>
      </c>
      <c r="M26" s="13"/>
      <c r="N26" s="13"/>
      <c r="O26" s="13"/>
      <c r="P26" s="13"/>
    </row>
    <row r="27" spans="1:16" ht="31" x14ac:dyDescent="0.35">
      <c r="A27" s="5">
        <v>26</v>
      </c>
      <c r="B27" s="6" t="s">
        <v>36</v>
      </c>
      <c r="C27" s="7">
        <v>90</v>
      </c>
      <c r="D27" s="7" t="str">
        <f>VLOOKUP(C27,'5-Genre Codes'!$A$1:$B$11,2,FALSE)</f>
        <v>Super Hero</v>
      </c>
      <c r="E27" s="8">
        <v>2004</v>
      </c>
      <c r="F27" s="6">
        <v>18685</v>
      </c>
      <c r="G27" s="6" t="str">
        <f>VLOOKUP(F27,'4-Actor Codes'!$A$1:$B$622,2,FALSE)</f>
        <v>Tobey Maguire</v>
      </c>
      <c r="H27" s="8" t="s">
        <v>13</v>
      </c>
      <c r="I27" s="9">
        <v>373524485</v>
      </c>
      <c r="J27" s="10">
        <v>410180516</v>
      </c>
      <c r="L27" s="10">
        <v>200000000</v>
      </c>
      <c r="M27" s="13"/>
      <c r="N27" s="13"/>
      <c r="O27" s="13"/>
      <c r="P27" s="13"/>
    </row>
    <row r="28" spans="1:16" ht="31" x14ac:dyDescent="0.35">
      <c r="A28" s="5">
        <v>27</v>
      </c>
      <c r="B28" s="6" t="s">
        <v>37</v>
      </c>
      <c r="C28" s="7">
        <v>20</v>
      </c>
      <c r="D28" s="7" t="str">
        <f>VLOOKUP(C28,'5-Genre Codes'!$A$1:$B$11,2,FALSE)</f>
        <v>Dramatization</v>
      </c>
      <c r="E28" s="8">
        <v>2004</v>
      </c>
      <c r="F28" s="6">
        <v>13555</v>
      </c>
      <c r="G28" s="6" t="str">
        <f>VLOOKUP(F28,'4-Actor Codes'!$A$1:$B$622,2,FALSE)</f>
        <v>James Caviezel</v>
      </c>
      <c r="H28" s="8" t="s">
        <v>10</v>
      </c>
      <c r="I28" s="9">
        <v>370782930</v>
      </c>
      <c r="J28" s="10">
        <v>251637737</v>
      </c>
      <c r="L28" s="10">
        <v>25000000</v>
      </c>
      <c r="M28" s="13"/>
      <c r="N28" s="13"/>
      <c r="O28" s="13"/>
      <c r="P28" s="13"/>
    </row>
    <row r="29" spans="1:16" x14ac:dyDescent="0.35">
      <c r="A29" s="5">
        <v>28</v>
      </c>
      <c r="B29" s="6" t="s">
        <v>38</v>
      </c>
      <c r="C29" s="7">
        <v>60</v>
      </c>
      <c r="D29" s="7" t="str">
        <f>VLOOKUP(C29,'5-Genre Codes'!$A$1:$B$11,2,FALSE)</f>
        <v>Kids Fiction</v>
      </c>
      <c r="E29" s="8">
        <v>2013</v>
      </c>
      <c r="F29" s="6">
        <v>18205</v>
      </c>
      <c r="G29" s="6" t="str">
        <f>VLOOKUP(F29,'4-Actor Codes'!$A$1:$B$622,2,FALSE)</f>
        <v>Steve Carell</v>
      </c>
      <c r="H29" s="8" t="s">
        <v>13</v>
      </c>
      <c r="I29" s="9">
        <v>368065385</v>
      </c>
      <c r="J29" s="10">
        <v>606808379</v>
      </c>
      <c r="L29" s="10">
        <v>76000000</v>
      </c>
      <c r="M29" s="13"/>
      <c r="N29" s="13"/>
      <c r="O29" s="13"/>
      <c r="P29" s="13"/>
    </row>
    <row r="30" spans="1:16" x14ac:dyDescent="0.35">
      <c r="A30" s="5">
        <v>29</v>
      </c>
      <c r="B30" s="6" t="s">
        <v>39</v>
      </c>
      <c r="C30" s="7">
        <v>60</v>
      </c>
      <c r="D30" s="7" t="str">
        <f>VLOOKUP(C30,'5-Genre Codes'!$A$1:$B$11,2,FALSE)</f>
        <v>Kids Fiction</v>
      </c>
      <c r="E30" s="8">
        <v>2015</v>
      </c>
      <c r="F30" s="6">
        <v>15235</v>
      </c>
      <c r="G30" s="6" t="str">
        <f>VLOOKUP(F30,'4-Actor Codes'!$A$1:$B$622,2,FALSE)</f>
        <v>Lewis Black</v>
      </c>
      <c r="H30" s="8" t="s">
        <v>10</v>
      </c>
      <c r="I30" s="9">
        <v>356158534</v>
      </c>
      <c r="J30" s="10">
        <v>494300000</v>
      </c>
      <c r="L30" s="10">
        <v>175000000</v>
      </c>
      <c r="M30" s="13"/>
      <c r="N30" s="13"/>
      <c r="O30" s="13"/>
      <c r="P30" s="13"/>
    </row>
    <row r="31" spans="1:16" ht="31" x14ac:dyDescent="0.35">
      <c r="A31" s="5">
        <v>30</v>
      </c>
      <c r="B31" s="6" t="s">
        <v>40</v>
      </c>
      <c r="C31" s="7">
        <v>80</v>
      </c>
      <c r="D31" s="7" t="str">
        <f>VLOOKUP(C31,'5-Genre Codes'!$A$1:$B$11,2,FALSE)</f>
        <v>Science Fiction</v>
      </c>
      <c r="E31" s="8">
        <v>2011</v>
      </c>
      <c r="F31" s="6">
        <v>18055</v>
      </c>
      <c r="G31" s="6" t="str">
        <f>VLOOKUP(F31,'4-Actor Codes'!$A$1:$B$622,2,FALSE)</f>
        <v>Shia LaBeouf</v>
      </c>
      <c r="H31" s="8" t="s">
        <v>13</v>
      </c>
      <c r="I31" s="9">
        <v>352390543</v>
      </c>
      <c r="J31" s="10">
        <v>771400000</v>
      </c>
      <c r="L31" s="10">
        <v>195000000</v>
      </c>
      <c r="M31" s="13"/>
      <c r="N31" s="13"/>
      <c r="O31" s="13"/>
      <c r="P31" s="13"/>
    </row>
    <row r="32" spans="1:16" ht="31" x14ac:dyDescent="0.35">
      <c r="A32" s="5">
        <v>31</v>
      </c>
      <c r="B32" s="6" t="s">
        <v>41</v>
      </c>
      <c r="C32" s="7">
        <v>10</v>
      </c>
      <c r="D32" s="7" t="str">
        <f>VLOOKUP(C32,'5-Genre Codes'!$A$1:$B$11,2,FALSE)</f>
        <v>Contemporary Fiction</v>
      </c>
      <c r="E32" s="8">
        <v>2014</v>
      </c>
      <c r="F32" s="6">
        <v>19060</v>
      </c>
      <c r="G32" s="6" t="str">
        <f>VLOOKUP(F32,'4-Actor Codes'!$A$1:$B$622,2,FALSE)</f>
        <v>Vin Diesel</v>
      </c>
      <c r="H32" s="8" t="s">
        <v>13</v>
      </c>
      <c r="I32" s="9">
        <v>351032910</v>
      </c>
      <c r="J32" s="10">
        <v>1165213799</v>
      </c>
      <c r="L32" s="10">
        <v>190000000</v>
      </c>
      <c r="M32" s="13"/>
      <c r="N32" s="13"/>
      <c r="O32" s="13"/>
      <c r="P32" s="13"/>
    </row>
    <row r="33" spans="1:16" ht="31" x14ac:dyDescent="0.35">
      <c r="A33" s="5">
        <v>32</v>
      </c>
      <c r="B33" s="6" t="s">
        <v>42</v>
      </c>
      <c r="C33" s="7">
        <v>20</v>
      </c>
      <c r="D33" s="7" t="str">
        <f>VLOOKUP(C33,'5-Genre Codes'!$A$1:$B$11,2,FALSE)</f>
        <v>Dramatization</v>
      </c>
      <c r="E33" s="8">
        <v>2015</v>
      </c>
      <c r="F33" s="6">
        <v>10945</v>
      </c>
      <c r="G33" s="6" t="str">
        <f>VLOOKUP(F33,'4-Actor Codes'!$A$1:$B$622,2,FALSE)</f>
        <v>Bradley Cooper</v>
      </c>
      <c r="H33" s="8" t="s">
        <v>10</v>
      </c>
      <c r="I33" s="9">
        <v>350126372</v>
      </c>
      <c r="J33" s="10">
        <v>197200000</v>
      </c>
      <c r="L33" s="10">
        <v>58000000</v>
      </c>
      <c r="M33" s="13"/>
      <c r="N33" s="13"/>
      <c r="O33" s="13"/>
      <c r="P33" s="13"/>
    </row>
    <row r="34" spans="1:16" x14ac:dyDescent="0.35">
      <c r="A34" s="5">
        <v>33</v>
      </c>
      <c r="B34" s="6" t="s">
        <v>43</v>
      </c>
      <c r="C34" s="7">
        <v>40</v>
      </c>
      <c r="D34" s="7" t="str">
        <f>VLOOKUP(C34,'5-Genre Codes'!$A$1:$B$11,2,FALSE)</f>
        <v>Fantasy</v>
      </c>
      <c r="E34" s="8">
        <v>2002</v>
      </c>
      <c r="F34" s="6">
        <v>12445</v>
      </c>
      <c r="G34" s="6" t="str">
        <f>VLOOKUP(F34,'4-Actor Codes'!$A$1:$B$622,2,FALSE)</f>
        <v>Elijah Wood</v>
      </c>
      <c r="H34" s="8" t="s">
        <v>13</v>
      </c>
      <c r="I34" s="9">
        <v>342548984</v>
      </c>
      <c r="J34" s="10">
        <v>592154195</v>
      </c>
      <c r="L34" s="10">
        <v>94000000</v>
      </c>
      <c r="M34" s="13"/>
      <c r="N34" s="13"/>
      <c r="O34" s="13"/>
      <c r="P34" s="13"/>
    </row>
    <row r="35" spans="1:16" ht="31" x14ac:dyDescent="0.35">
      <c r="A35" s="5">
        <v>34</v>
      </c>
      <c r="B35" s="6" t="s">
        <v>44</v>
      </c>
      <c r="C35" s="7">
        <v>80</v>
      </c>
      <c r="D35" s="7" t="str">
        <f>VLOOKUP(C35,'5-Genre Codes'!$A$1:$B$11,2,FALSE)</f>
        <v>Science Fiction</v>
      </c>
      <c r="E35" s="8">
        <v>2014</v>
      </c>
      <c r="F35" s="6">
        <v>13990</v>
      </c>
      <c r="G35" s="6" t="str">
        <f>VLOOKUP(F35,'4-Actor Codes'!$A$1:$B$622,2,FALSE)</f>
        <v>Jennifer Lawrence</v>
      </c>
      <c r="H35" s="8" t="s">
        <v>13</v>
      </c>
      <c r="I35" s="9">
        <v>337135885</v>
      </c>
      <c r="J35" s="10">
        <v>372500000</v>
      </c>
      <c r="L35" s="10">
        <v>125000000</v>
      </c>
      <c r="M35" s="13"/>
      <c r="N35" s="13"/>
      <c r="O35" s="13"/>
      <c r="P35" s="13"/>
    </row>
    <row r="36" spans="1:16" ht="31" x14ac:dyDescent="0.35">
      <c r="A36" s="5">
        <v>35</v>
      </c>
      <c r="B36" s="6" t="s">
        <v>45</v>
      </c>
      <c r="C36" s="7">
        <v>90</v>
      </c>
      <c r="D36" s="7" t="str">
        <f>VLOOKUP(C36,'5-Genre Codes'!$A$1:$B$11,2,FALSE)</f>
        <v>Super Hero</v>
      </c>
      <c r="E36" s="8">
        <v>2007</v>
      </c>
      <c r="F36" s="6">
        <v>18685</v>
      </c>
      <c r="G36" s="6" t="str">
        <f>VLOOKUP(F36,'4-Actor Codes'!$A$1:$B$622,2,FALSE)</f>
        <v>Tobey Maguire</v>
      </c>
      <c r="H36" s="8" t="s">
        <v>13</v>
      </c>
      <c r="I36" s="9">
        <v>336530303</v>
      </c>
      <c r="J36" s="10">
        <v>554345000</v>
      </c>
      <c r="L36" s="10">
        <v>258000000</v>
      </c>
      <c r="M36" s="13"/>
      <c r="N36" s="13"/>
      <c r="O36" s="13"/>
      <c r="P36" s="13"/>
    </row>
    <row r="37" spans="1:16" ht="31" x14ac:dyDescent="0.35">
      <c r="A37" s="5">
        <v>36</v>
      </c>
      <c r="B37" s="6" t="s">
        <v>46</v>
      </c>
      <c r="C37" s="7">
        <v>60</v>
      </c>
      <c r="D37" s="7" t="str">
        <f>VLOOKUP(C37,'5-Genre Codes'!$A$1:$B$11,2,FALSE)</f>
        <v>Kids Fiction</v>
      </c>
      <c r="E37" s="8">
        <v>2014</v>
      </c>
      <c r="F37" s="6">
        <v>14020</v>
      </c>
      <c r="G37" s="6" t="str">
        <f>VLOOKUP(F37,'4-Actor Codes'!$A$1:$B$622,2,FALSE)</f>
        <v>Jennifer Saunders</v>
      </c>
      <c r="H37" s="8" t="s">
        <v>10</v>
      </c>
      <c r="I37" s="9">
        <v>335501715</v>
      </c>
      <c r="J37" s="10">
        <v>825868529</v>
      </c>
      <c r="L37" s="10">
        <v>74000000</v>
      </c>
      <c r="M37" s="13"/>
      <c r="N37" s="13"/>
      <c r="O37" s="13"/>
      <c r="P37" s="13"/>
    </row>
    <row r="38" spans="1:16" ht="31" x14ac:dyDescent="0.35">
      <c r="A38" s="5">
        <v>37</v>
      </c>
      <c r="B38" s="6" t="s">
        <v>47</v>
      </c>
      <c r="C38" s="7">
        <v>40</v>
      </c>
      <c r="D38" s="7" t="str">
        <f>VLOOKUP(C38,'5-Genre Codes'!$A$1:$B$11,2,FALSE)</f>
        <v>Fantasy</v>
      </c>
      <c r="E38" s="8">
        <v>2010</v>
      </c>
      <c r="F38" s="6">
        <v>12745</v>
      </c>
      <c r="G38" s="6" t="str">
        <f>VLOOKUP(F38,'4-Actor Codes'!$A$1:$B$622,2,FALSE)</f>
        <v>Frank Welker</v>
      </c>
      <c r="H38" s="8" t="s">
        <v>10</v>
      </c>
      <c r="I38" s="9">
        <v>334191110</v>
      </c>
      <c r="J38" s="10">
        <v>691300000</v>
      </c>
      <c r="L38" s="10">
        <v>200000000</v>
      </c>
      <c r="M38" s="13"/>
      <c r="N38" s="13"/>
      <c r="O38" s="13"/>
      <c r="P38" s="13"/>
    </row>
    <row r="39" spans="1:16" x14ac:dyDescent="0.35">
      <c r="A39" s="5">
        <v>38</v>
      </c>
      <c r="B39" s="6" t="s">
        <v>48</v>
      </c>
      <c r="C39" s="7">
        <v>90</v>
      </c>
      <c r="D39" s="7" t="str">
        <f>VLOOKUP(C39,'5-Genre Codes'!$A$1:$B$11,2,FALSE)</f>
        <v>Super Hero</v>
      </c>
      <c r="E39" s="8">
        <v>2014</v>
      </c>
      <c r="F39" s="6">
        <v>11410</v>
      </c>
      <c r="G39" s="6" t="str">
        <f>VLOOKUP(F39,'4-Actor Codes'!$A$1:$B$622,2,FALSE)</f>
        <v>Chris Pratt</v>
      </c>
      <c r="H39" s="8" t="s">
        <v>10</v>
      </c>
      <c r="I39" s="9">
        <v>333172112</v>
      </c>
      <c r="J39" s="10">
        <v>438000000</v>
      </c>
      <c r="L39" s="10">
        <v>170000000</v>
      </c>
      <c r="M39" s="13"/>
      <c r="N39" s="13"/>
      <c r="O39" s="13"/>
      <c r="P39" s="13"/>
    </row>
    <row r="40" spans="1:16" ht="31" x14ac:dyDescent="0.35">
      <c r="A40" s="5">
        <v>39</v>
      </c>
      <c r="B40" s="6" t="s">
        <v>49</v>
      </c>
      <c r="C40" s="7">
        <v>50</v>
      </c>
      <c r="D40" s="7" t="str">
        <f>VLOOKUP(C40,'5-Genre Codes'!$A$1:$B$11,2,FALSE)</f>
        <v>Historical Fiction</v>
      </c>
      <c r="E40" s="8">
        <v>1994</v>
      </c>
      <c r="F40" s="6">
        <v>16360</v>
      </c>
      <c r="G40" s="6" t="str">
        <f>VLOOKUP(F40,'4-Actor Codes'!$A$1:$B$622,2,FALSE)</f>
        <v>Mykelti Williamson</v>
      </c>
      <c r="H40" s="8" t="s">
        <v>10</v>
      </c>
      <c r="I40" s="9">
        <v>330151138</v>
      </c>
      <c r="J40" s="10">
        <v>349706026</v>
      </c>
      <c r="K40" s="11" t="s">
        <v>1010</v>
      </c>
      <c r="L40" s="10">
        <v>55000000</v>
      </c>
      <c r="M40" s="13"/>
      <c r="N40" s="13"/>
      <c r="O40" s="13"/>
      <c r="P40" s="13"/>
    </row>
    <row r="41" spans="1:16" x14ac:dyDescent="0.35">
      <c r="A41" s="5">
        <v>40</v>
      </c>
      <c r="B41" s="6" t="s">
        <v>50</v>
      </c>
      <c r="C41" s="7">
        <v>60</v>
      </c>
      <c r="D41" s="7" t="str">
        <f>VLOOKUP(C41,'5-Genre Codes'!$A$1:$B$11,2,FALSE)</f>
        <v>Kids Fiction</v>
      </c>
      <c r="E41" s="8">
        <v>2007</v>
      </c>
      <c r="F41" s="6">
        <v>16180</v>
      </c>
      <c r="G41" s="6" t="str">
        <f>VLOOKUP(F41,'4-Actor Codes'!$A$1:$B$622,2,FALSE)</f>
        <v>Mike Myers</v>
      </c>
      <c r="H41" s="8" t="s">
        <v>13</v>
      </c>
      <c r="I41" s="9">
        <v>321012359</v>
      </c>
      <c r="J41" s="10">
        <v>484610992</v>
      </c>
      <c r="L41" s="10">
        <v>160000000</v>
      </c>
      <c r="M41" s="13"/>
      <c r="N41" s="13"/>
      <c r="O41" s="13"/>
      <c r="P41" s="13"/>
    </row>
    <row r="42" spans="1:16" ht="31" x14ac:dyDescent="0.35">
      <c r="A42" s="5">
        <v>41</v>
      </c>
      <c r="B42" s="6" t="s">
        <v>51</v>
      </c>
      <c r="C42" s="7">
        <v>80</v>
      </c>
      <c r="D42" s="7" t="str">
        <f>VLOOKUP(C42,'5-Genre Codes'!$A$1:$B$11,2,FALSE)</f>
        <v>Science Fiction</v>
      </c>
      <c r="E42" s="8">
        <v>2007</v>
      </c>
      <c r="F42" s="6">
        <v>18055</v>
      </c>
      <c r="G42" s="6" t="str">
        <f>VLOOKUP(F42,'4-Actor Codes'!$A$1:$B$622,2,FALSE)</f>
        <v>Shia LaBeouf</v>
      </c>
      <c r="H42" s="8" t="s">
        <v>10</v>
      </c>
      <c r="I42" s="9">
        <v>319071806</v>
      </c>
      <c r="J42" s="10">
        <v>389026399</v>
      </c>
      <c r="L42" s="10">
        <v>151000000</v>
      </c>
      <c r="M42" s="13"/>
      <c r="N42" s="13"/>
      <c r="O42" s="13"/>
      <c r="P42" s="13"/>
    </row>
    <row r="43" spans="1:16" ht="31" x14ac:dyDescent="0.35">
      <c r="A43" s="5">
        <v>42</v>
      </c>
      <c r="B43" s="6" t="s">
        <v>52</v>
      </c>
      <c r="C43" s="7">
        <v>90</v>
      </c>
      <c r="D43" s="7" t="str">
        <f>VLOOKUP(C43,'5-Genre Codes'!$A$1:$B$11,2,FALSE)</f>
        <v>Super Hero</v>
      </c>
      <c r="E43" s="8">
        <v>2008</v>
      </c>
      <c r="F43" s="6">
        <v>17335</v>
      </c>
      <c r="G43" s="6" t="str">
        <f>VLOOKUP(F43,'4-Actor Codes'!$A$1:$B$622,2,FALSE)</f>
        <v>Robert Downey, Jr.</v>
      </c>
      <c r="H43" s="8" t="s">
        <v>10</v>
      </c>
      <c r="I43" s="9">
        <v>318604126</v>
      </c>
      <c r="J43" s="10">
        <v>263839000</v>
      </c>
      <c r="L43" s="10">
        <v>186000000</v>
      </c>
      <c r="M43" s="13"/>
      <c r="N43" s="13"/>
      <c r="O43" s="13"/>
      <c r="P43" s="13"/>
    </row>
    <row r="44" spans="1:16" ht="31" x14ac:dyDescent="0.35">
      <c r="A44" s="5">
        <v>43</v>
      </c>
      <c r="B44" s="6" t="s">
        <v>53</v>
      </c>
      <c r="C44" s="7">
        <v>40</v>
      </c>
      <c r="D44" s="7" t="str">
        <f>VLOOKUP(C44,'5-Genre Codes'!$A$1:$B$11,2,FALSE)</f>
        <v>Fantasy</v>
      </c>
      <c r="E44" s="8">
        <v>2001</v>
      </c>
      <c r="F44" s="6">
        <v>14485</v>
      </c>
      <c r="G44" s="6" t="str">
        <f>VLOOKUP(F44,'4-Actor Codes'!$A$1:$B$622,2,FALSE)</f>
        <v>Josh Herdman</v>
      </c>
      <c r="H44" s="8" t="s">
        <v>10</v>
      </c>
      <c r="I44" s="9">
        <v>317575550</v>
      </c>
      <c r="J44" s="10">
        <v>657179821</v>
      </c>
      <c r="L44" s="10">
        <v>125000000</v>
      </c>
      <c r="M44" s="13"/>
      <c r="N44" s="13"/>
      <c r="O44" s="13"/>
      <c r="P44" s="13"/>
    </row>
    <row r="45" spans="1:16" ht="16.75" customHeight="1" x14ac:dyDescent="0.35">
      <c r="A45" s="5">
        <v>44</v>
      </c>
      <c r="B45" s="6" t="s">
        <v>54</v>
      </c>
      <c r="C45" s="7">
        <v>50</v>
      </c>
      <c r="D45" s="7" t="str">
        <f>VLOOKUP(C45,'5-Genre Codes'!$A$1:$B$11,2,FALSE)</f>
        <v>Historical Fiction</v>
      </c>
      <c r="E45" s="8">
        <v>2008</v>
      </c>
      <c r="F45" s="6">
        <v>14650</v>
      </c>
      <c r="G45" s="6" t="str">
        <f>VLOOKUP(F45,'4-Actor Codes'!$A$1:$B$622,2,FALSE)</f>
        <v>Karen Allen</v>
      </c>
      <c r="H45" s="8" t="s">
        <v>13</v>
      </c>
      <c r="I45" s="9">
        <v>317023851</v>
      </c>
      <c r="J45" s="10">
        <v>469534294</v>
      </c>
      <c r="L45" s="10">
        <v>185000000</v>
      </c>
      <c r="M45" s="13"/>
      <c r="N45" s="13"/>
      <c r="O45" s="13"/>
      <c r="P45" s="13"/>
    </row>
    <row r="46" spans="1:16" x14ac:dyDescent="0.35">
      <c r="A46" s="5">
        <v>45</v>
      </c>
      <c r="B46" s="6" t="s">
        <v>55</v>
      </c>
      <c r="C46" s="7">
        <v>40</v>
      </c>
      <c r="D46" s="7" t="str">
        <f>VLOOKUP(C46,'5-Genre Codes'!$A$1:$B$11,2,FALSE)</f>
        <v>Fantasy</v>
      </c>
      <c r="E46" s="8">
        <v>2001</v>
      </c>
      <c r="F46" s="6">
        <v>12445</v>
      </c>
      <c r="G46" s="6" t="str">
        <f>VLOOKUP(F46,'4-Actor Codes'!$A$1:$B$622,2,FALSE)</f>
        <v>Elijah Wood</v>
      </c>
      <c r="H46" s="8" t="s">
        <v>10</v>
      </c>
      <c r="I46" s="9">
        <v>315544750</v>
      </c>
      <c r="J46" s="10">
        <v>571672938</v>
      </c>
      <c r="L46" s="10">
        <v>109000000</v>
      </c>
      <c r="M46" s="13"/>
      <c r="N46" s="13"/>
      <c r="O46" s="13"/>
      <c r="P46" s="13"/>
    </row>
    <row r="47" spans="1:16" ht="31" x14ac:dyDescent="0.35">
      <c r="A47" s="5">
        <v>46</v>
      </c>
      <c r="B47" s="6" t="s">
        <v>56</v>
      </c>
      <c r="C47" s="7">
        <v>90</v>
      </c>
      <c r="D47" s="7" t="str">
        <f>VLOOKUP(C47,'5-Genre Codes'!$A$1:$B$11,2,FALSE)</f>
        <v>Super Hero</v>
      </c>
      <c r="E47" s="8">
        <v>2010</v>
      </c>
      <c r="F47" s="6">
        <v>13075</v>
      </c>
      <c r="G47" s="6" t="str">
        <f>VLOOKUP(F47,'4-Actor Codes'!$A$1:$B$622,2,FALSE)</f>
        <v>Gwyneth Paltrow</v>
      </c>
      <c r="H47" s="8" t="s">
        <v>13</v>
      </c>
      <c r="I47" s="9">
        <v>312128345</v>
      </c>
      <c r="J47" s="10">
        <v>311128000</v>
      </c>
      <c r="L47" s="10">
        <v>170000000</v>
      </c>
      <c r="M47" s="13"/>
      <c r="N47" s="13"/>
      <c r="O47" s="13"/>
      <c r="P47" s="13"/>
    </row>
    <row r="48" spans="1:16" ht="31" x14ac:dyDescent="0.35">
      <c r="A48" s="5">
        <v>47</v>
      </c>
      <c r="B48" s="6" t="s">
        <v>57</v>
      </c>
      <c r="C48" s="7">
        <v>50</v>
      </c>
      <c r="D48" s="7" t="str">
        <f>VLOOKUP(C48,'5-Genre Codes'!$A$1:$B$11,2,FALSE)</f>
        <v>Historical Fiction</v>
      </c>
      <c r="E48" s="8">
        <v>2007</v>
      </c>
      <c r="F48" s="6">
        <v>14350</v>
      </c>
      <c r="G48" s="6" t="str">
        <f>VLOOKUP(F48,'4-Actor Codes'!$A$1:$B$622,2,FALSE)</f>
        <v>Johnny Depp</v>
      </c>
      <c r="H48" s="8" t="s">
        <v>13</v>
      </c>
      <c r="I48" s="9">
        <v>309420425</v>
      </c>
      <c r="J48" s="10">
        <v>654000000</v>
      </c>
      <c r="L48" s="10">
        <v>300000000</v>
      </c>
      <c r="M48" s="13"/>
      <c r="N48" s="13"/>
      <c r="O48" s="13"/>
      <c r="P48" s="13"/>
    </row>
    <row r="49" spans="1:16" ht="31" x14ac:dyDescent="0.35">
      <c r="A49" s="5">
        <v>48</v>
      </c>
      <c r="B49" s="6" t="s">
        <v>58</v>
      </c>
      <c r="C49" s="7">
        <v>80</v>
      </c>
      <c r="D49" s="7" t="str">
        <f>VLOOKUP(C49,'5-Genre Codes'!$A$1:$B$11,2,FALSE)</f>
        <v>Science Fiction</v>
      </c>
      <c r="E49" s="8">
        <v>1983</v>
      </c>
      <c r="F49" s="6">
        <v>13120</v>
      </c>
      <c r="G49" s="6" t="str">
        <f>VLOOKUP(F49,'4-Actor Codes'!$A$1:$B$622,2,FALSE)</f>
        <v>Harrison Ford</v>
      </c>
      <c r="H49" s="8" t="s">
        <v>13</v>
      </c>
      <c r="I49" s="9">
        <v>309125409</v>
      </c>
      <c r="J49" s="10">
        <v>263500000</v>
      </c>
      <c r="L49" s="10">
        <v>32500000</v>
      </c>
      <c r="M49" s="13"/>
      <c r="N49" s="13"/>
      <c r="O49" s="13"/>
      <c r="P49" s="13"/>
    </row>
    <row r="50" spans="1:16" x14ac:dyDescent="0.35">
      <c r="A50" s="5">
        <v>49</v>
      </c>
      <c r="B50" s="6" t="s">
        <v>59</v>
      </c>
      <c r="C50" s="7">
        <v>80</v>
      </c>
      <c r="D50" s="7" t="str">
        <f>VLOOKUP(C50,'5-Genre Codes'!$A$1:$B$11,2,FALSE)</f>
        <v>Science Fiction</v>
      </c>
      <c r="E50" s="8">
        <v>1996</v>
      </c>
      <c r="F50" s="6">
        <v>11815</v>
      </c>
      <c r="G50" s="6" t="str">
        <f>VLOOKUP(F50,'4-Actor Codes'!$A$1:$B$622,2,FALSE)</f>
        <v>Dan Lauria</v>
      </c>
      <c r="H50" s="8" t="s">
        <v>10</v>
      </c>
      <c r="I50" s="9">
        <v>306124059</v>
      </c>
      <c r="J50" s="10">
        <v>511231623</v>
      </c>
      <c r="L50" s="10">
        <v>75000000</v>
      </c>
      <c r="M50" s="13"/>
      <c r="N50" s="13"/>
      <c r="O50" s="13"/>
      <c r="P50" s="13"/>
    </row>
    <row r="51" spans="1:16" ht="31" x14ac:dyDescent="0.35">
      <c r="A51" s="5">
        <v>50</v>
      </c>
      <c r="B51" s="6" t="s">
        <v>60</v>
      </c>
      <c r="C51" s="7">
        <v>40</v>
      </c>
      <c r="D51" s="7" t="str">
        <f>VLOOKUP(C51,'5-Genre Codes'!$A$1:$B$11,2,FALSE)</f>
        <v>Fantasy</v>
      </c>
      <c r="E51" s="8">
        <v>2003</v>
      </c>
      <c r="F51" s="6">
        <v>14350</v>
      </c>
      <c r="G51" s="6" t="str">
        <f>VLOOKUP(F51,'4-Actor Codes'!$A$1:$B$622,2,FALSE)</f>
        <v>Johnny Depp</v>
      </c>
      <c r="H51" s="8" t="s">
        <v>10</v>
      </c>
      <c r="I51" s="9">
        <v>305411224</v>
      </c>
      <c r="J51" s="10">
        <v>329542879</v>
      </c>
      <c r="L51" s="10">
        <v>125000000</v>
      </c>
      <c r="M51" s="13"/>
      <c r="N51" s="13"/>
      <c r="O51" s="13"/>
      <c r="P51" s="13"/>
    </row>
    <row r="52" spans="1:16" ht="31" x14ac:dyDescent="0.35">
      <c r="A52" s="5">
        <v>51</v>
      </c>
      <c r="B52" s="6" t="s">
        <v>61</v>
      </c>
      <c r="C52" s="7">
        <v>10</v>
      </c>
      <c r="D52" s="7" t="str">
        <f>VLOOKUP(C52,'5-Genre Codes'!$A$1:$B$11,2,FALSE)</f>
        <v>Contemporary Fiction</v>
      </c>
      <c r="E52" s="8">
        <v>2012</v>
      </c>
      <c r="F52" s="6">
        <v>11830</v>
      </c>
      <c r="G52" s="6" t="str">
        <f>VLOOKUP(F52,'4-Actor Codes'!$A$1:$B$622,2,FALSE)</f>
        <v>Daniel Craig</v>
      </c>
      <c r="H52" s="8" t="s">
        <v>13</v>
      </c>
      <c r="I52" s="9">
        <v>304360277</v>
      </c>
      <c r="J52" s="10">
        <v>806166704</v>
      </c>
      <c r="L52" s="10">
        <v>200000000</v>
      </c>
      <c r="M52" s="13"/>
      <c r="N52" s="13"/>
      <c r="O52" s="13"/>
      <c r="P52" s="13"/>
    </row>
    <row r="53" spans="1:16" ht="31" x14ac:dyDescent="0.35">
      <c r="A53" s="5">
        <v>52</v>
      </c>
      <c r="B53" s="6" t="s">
        <v>62</v>
      </c>
      <c r="C53" s="7">
        <v>40</v>
      </c>
      <c r="D53" s="7" t="str">
        <f>VLOOKUP(C53,'5-Genre Codes'!$A$1:$B$11,2,FALSE)</f>
        <v>Fantasy</v>
      </c>
      <c r="E53" s="8">
        <v>2012</v>
      </c>
      <c r="F53" s="6">
        <v>13285</v>
      </c>
      <c r="G53" s="6" t="str">
        <f>VLOOKUP(F53,'4-Actor Codes'!$A$1:$B$622,2,FALSE)</f>
        <v>Hugo Weaving</v>
      </c>
      <c r="H53" s="8" t="s">
        <v>13</v>
      </c>
      <c r="I53" s="9">
        <v>303003568</v>
      </c>
      <c r="J53" s="10">
        <v>714000000</v>
      </c>
      <c r="L53" s="10">
        <v>250000000</v>
      </c>
      <c r="M53" s="13"/>
      <c r="N53" s="13"/>
      <c r="O53" s="13"/>
      <c r="P53" s="13"/>
    </row>
    <row r="54" spans="1:16" x14ac:dyDescent="0.35">
      <c r="A54" s="5">
        <v>53</v>
      </c>
      <c r="B54" s="6" t="s">
        <v>63</v>
      </c>
      <c r="C54" s="7">
        <v>80</v>
      </c>
      <c r="D54" s="7" t="str">
        <f>VLOOKUP(C54,'5-Genre Codes'!$A$1:$B$11,2,FALSE)</f>
        <v>Science Fiction</v>
      </c>
      <c r="E54" s="8">
        <v>2002</v>
      </c>
      <c r="F54" s="6">
        <v>13885</v>
      </c>
      <c r="G54" s="6" t="str">
        <f>VLOOKUP(F54,'4-Actor Codes'!$A$1:$B$622,2,FALSE)</f>
        <v>Jay Laga'aia</v>
      </c>
      <c r="H54" s="8" t="s">
        <v>13</v>
      </c>
      <c r="I54" s="9">
        <v>302181125</v>
      </c>
      <c r="J54" s="10">
        <v>346018875</v>
      </c>
      <c r="L54" s="10">
        <v>115000000</v>
      </c>
      <c r="M54" s="13"/>
      <c r="N54" s="13"/>
      <c r="O54" s="13"/>
      <c r="P54" s="13"/>
    </row>
    <row r="55" spans="1:16" ht="31" x14ac:dyDescent="0.35">
      <c r="A55" s="5">
        <v>54</v>
      </c>
      <c r="B55" s="6" t="s">
        <v>64</v>
      </c>
      <c r="C55" s="7">
        <v>40</v>
      </c>
      <c r="D55" s="7" t="str">
        <f>VLOOKUP(C55,'5-Genre Codes'!$A$1:$B$11,2,FALSE)</f>
        <v>Fantasy</v>
      </c>
      <c r="E55" s="8">
        <v>2009</v>
      </c>
      <c r="F55" s="6">
        <v>12895</v>
      </c>
      <c r="G55" s="6" t="str">
        <f>VLOOKUP(F55,'4-Actor Codes'!$A$1:$B$622,2,FALSE)</f>
        <v>Gemma Jones</v>
      </c>
      <c r="H55" s="8" t="s">
        <v>13</v>
      </c>
      <c r="I55" s="9">
        <v>301959197</v>
      </c>
      <c r="J55" s="10">
        <v>633124489</v>
      </c>
      <c r="L55" s="10">
        <v>250000000</v>
      </c>
      <c r="M55" s="13"/>
      <c r="N55" s="13"/>
      <c r="O55" s="13"/>
      <c r="P55" s="13"/>
    </row>
    <row r="56" spans="1:16" ht="31" x14ac:dyDescent="0.35">
      <c r="A56" s="5">
        <v>55</v>
      </c>
      <c r="B56" s="6" t="s">
        <v>65</v>
      </c>
      <c r="C56" s="7">
        <v>40</v>
      </c>
      <c r="D56" s="7" t="str">
        <f>VLOOKUP(C56,'5-Genre Codes'!$A$1:$B$11,2,FALSE)</f>
        <v>Fantasy</v>
      </c>
      <c r="E56" s="8">
        <v>2010</v>
      </c>
      <c r="F56" s="6">
        <v>11710</v>
      </c>
      <c r="G56" s="6" t="str">
        <f>VLOOKUP(F56,'4-Actor Codes'!$A$1:$B$622,2,FALSE)</f>
        <v>Dakota Fanning</v>
      </c>
      <c r="H56" s="8" t="s">
        <v>13</v>
      </c>
      <c r="I56" s="9">
        <v>300531751</v>
      </c>
      <c r="J56" s="10">
        <v>405571077</v>
      </c>
      <c r="L56" s="10">
        <v>68000000</v>
      </c>
      <c r="M56" s="13"/>
      <c r="N56" s="13"/>
      <c r="O56" s="13"/>
      <c r="P56" s="13"/>
    </row>
    <row r="57" spans="1:16" ht="31" x14ac:dyDescent="0.35">
      <c r="A57" s="5">
        <v>56</v>
      </c>
      <c r="B57" s="6" t="s">
        <v>66</v>
      </c>
      <c r="C57" s="7">
        <v>40</v>
      </c>
      <c r="D57" s="7" t="str">
        <f>VLOOKUP(C57,'5-Genre Codes'!$A$1:$B$11,2,FALSE)</f>
        <v>Fantasy</v>
      </c>
      <c r="E57" s="8">
        <v>2009</v>
      </c>
      <c r="F57" s="6">
        <v>15010</v>
      </c>
      <c r="G57" s="6" t="str">
        <f>VLOOKUP(F57,'4-Actor Codes'!$A$1:$B$622,2,FALSE)</f>
        <v>Kristen Stewart</v>
      </c>
      <c r="H57" s="8" t="s">
        <v>13</v>
      </c>
      <c r="I57" s="9">
        <v>296623634</v>
      </c>
      <c r="J57" s="10">
        <v>390934093</v>
      </c>
      <c r="L57" s="10">
        <v>50000000</v>
      </c>
      <c r="M57" s="13"/>
      <c r="N57" s="13"/>
      <c r="O57" s="13"/>
      <c r="P57" s="13"/>
    </row>
    <row r="58" spans="1:16" ht="31" x14ac:dyDescent="0.35">
      <c r="A58" s="5">
        <v>57</v>
      </c>
      <c r="B58" s="6" t="s">
        <v>67</v>
      </c>
      <c r="C58" s="7">
        <v>40</v>
      </c>
      <c r="D58" s="7" t="str">
        <f>VLOOKUP(C58,'5-Genre Codes'!$A$1:$B$11,2,FALSE)</f>
        <v>Fantasy</v>
      </c>
      <c r="E58" s="8">
        <v>2010</v>
      </c>
      <c r="F58" s="6">
        <v>18655</v>
      </c>
      <c r="G58" s="6" t="str">
        <f>VLOOKUP(F58,'4-Actor Codes'!$A$1:$B$622,2,FALSE)</f>
        <v>Timothy Spall</v>
      </c>
      <c r="H58" s="8" t="s">
        <v>13</v>
      </c>
      <c r="I58" s="9">
        <v>295001070</v>
      </c>
      <c r="J58" s="10">
        <v>664300000</v>
      </c>
      <c r="L58" s="10">
        <v>125000000</v>
      </c>
      <c r="M58" s="13"/>
      <c r="N58" s="13"/>
      <c r="O58" s="13"/>
      <c r="P58" s="13"/>
    </row>
    <row r="59" spans="1:16" x14ac:dyDescent="0.35">
      <c r="A59" s="5">
        <v>58</v>
      </c>
      <c r="B59" s="6" t="s">
        <v>68</v>
      </c>
      <c r="C59" s="7">
        <v>40</v>
      </c>
      <c r="D59" s="7" t="str">
        <f>VLOOKUP(C59,'5-Genre Codes'!$A$1:$B$11,2,FALSE)</f>
        <v>Fantasy</v>
      </c>
      <c r="E59" s="8">
        <v>1999</v>
      </c>
      <c r="F59" s="6">
        <v>11095</v>
      </c>
      <c r="G59" s="6" t="str">
        <f>VLOOKUP(F59,'4-Actor Codes'!$A$1:$B$622,2,FALSE)</f>
        <v>Bruce Willis</v>
      </c>
      <c r="H59" s="8" t="s">
        <v>10</v>
      </c>
      <c r="I59" s="9">
        <v>293506292</v>
      </c>
      <c r="J59" s="10">
        <v>379300000</v>
      </c>
      <c r="L59" s="10">
        <v>40000000</v>
      </c>
      <c r="M59" s="13"/>
      <c r="N59" s="13"/>
      <c r="O59" s="13"/>
      <c r="P59" s="13"/>
    </row>
    <row r="60" spans="1:16" ht="31" x14ac:dyDescent="0.35">
      <c r="A60" s="5">
        <v>59</v>
      </c>
      <c r="B60" s="6" t="s">
        <v>69</v>
      </c>
      <c r="C60" s="7">
        <v>40</v>
      </c>
      <c r="D60" s="7" t="str">
        <f>VLOOKUP(C60,'5-Genre Codes'!$A$1:$B$11,2,FALSE)</f>
        <v>Fantasy</v>
      </c>
      <c r="E60" s="8">
        <v>2009</v>
      </c>
      <c r="F60" s="6">
        <v>11515</v>
      </c>
      <c r="G60" s="6" t="str">
        <f>VLOOKUP(F60,'4-Actor Codes'!$A$1:$B$622,2,FALSE)</f>
        <v>Christopher Plummer</v>
      </c>
      <c r="H60" s="8" t="s">
        <v>10</v>
      </c>
      <c r="I60" s="9">
        <v>293004164</v>
      </c>
      <c r="J60" s="10">
        <v>438538457</v>
      </c>
      <c r="L60" s="10">
        <v>175000000</v>
      </c>
      <c r="M60" s="13"/>
      <c r="N60" s="13"/>
      <c r="O60" s="13"/>
      <c r="P60" s="13"/>
    </row>
    <row r="61" spans="1:16" ht="31" x14ac:dyDescent="0.35">
      <c r="A61" s="5">
        <v>60</v>
      </c>
      <c r="B61" s="6" t="s">
        <v>70</v>
      </c>
      <c r="C61" s="7">
        <v>80</v>
      </c>
      <c r="D61" s="7" t="str">
        <f>VLOOKUP(C61,'5-Genre Codes'!$A$1:$B$11,2,FALSE)</f>
        <v>Science Fiction</v>
      </c>
      <c r="E61" s="8">
        <v>2010</v>
      </c>
      <c r="F61" s="6">
        <v>15955</v>
      </c>
      <c r="G61" s="6" t="str">
        <f>VLOOKUP(F61,'4-Actor Codes'!$A$1:$B$622,2,FALSE)</f>
        <v>Michael Caine</v>
      </c>
      <c r="H61" s="8" t="s">
        <v>10</v>
      </c>
      <c r="I61" s="9">
        <v>292576195</v>
      </c>
      <c r="J61" s="10">
        <v>540008221</v>
      </c>
      <c r="L61" s="10">
        <v>160000000</v>
      </c>
      <c r="M61" s="13"/>
      <c r="N61" s="13"/>
      <c r="O61" s="13"/>
      <c r="P61" s="13"/>
    </row>
    <row r="62" spans="1:16" ht="31" x14ac:dyDescent="0.35">
      <c r="A62" s="5">
        <v>61</v>
      </c>
      <c r="B62" s="6" t="s">
        <v>71</v>
      </c>
      <c r="C62" s="7">
        <v>40</v>
      </c>
      <c r="D62" s="7" t="str">
        <f>VLOOKUP(C62,'5-Genre Codes'!$A$1:$B$11,2,FALSE)</f>
        <v>Fantasy</v>
      </c>
      <c r="E62" s="8">
        <v>2012</v>
      </c>
      <c r="F62" s="6">
        <v>15010</v>
      </c>
      <c r="G62" s="6" t="str">
        <f>VLOOKUP(F62,'4-Actor Codes'!$A$1:$B$622,2,FALSE)</f>
        <v>Kristen Stewart</v>
      </c>
      <c r="H62" s="8" t="s">
        <v>13</v>
      </c>
      <c r="I62" s="9">
        <v>292324737</v>
      </c>
      <c r="J62" s="10">
        <v>537400000</v>
      </c>
      <c r="L62" s="10">
        <v>136200000</v>
      </c>
      <c r="M62" s="13"/>
      <c r="N62" s="13"/>
      <c r="O62" s="13"/>
      <c r="P62" s="13"/>
    </row>
    <row r="63" spans="1:16" ht="31" x14ac:dyDescent="0.35">
      <c r="A63" s="5">
        <v>62</v>
      </c>
      <c r="B63" s="6" t="s">
        <v>72</v>
      </c>
      <c r="C63" s="7">
        <v>40</v>
      </c>
      <c r="D63" s="7" t="str">
        <f>VLOOKUP(C63,'5-Genre Codes'!$A$1:$B$11,2,FALSE)</f>
        <v>Fantasy</v>
      </c>
      <c r="E63" s="8">
        <v>2007</v>
      </c>
      <c r="F63" s="6">
        <v>12160</v>
      </c>
      <c r="G63" s="6" t="str">
        <f>VLOOKUP(F63,'4-Actor Codes'!$A$1:$B$622,2,FALSE)</f>
        <v>Devon Murray</v>
      </c>
      <c r="H63" s="8" t="s">
        <v>13</v>
      </c>
      <c r="I63" s="9">
        <v>292004738</v>
      </c>
      <c r="J63" s="10">
        <v>650939197</v>
      </c>
      <c r="L63" s="10">
        <v>150000000</v>
      </c>
      <c r="M63" s="13"/>
      <c r="N63" s="13"/>
      <c r="O63" s="13"/>
      <c r="P63" s="13"/>
    </row>
    <row r="64" spans="1:16" ht="31" x14ac:dyDescent="0.35">
      <c r="A64" s="5">
        <v>63</v>
      </c>
      <c r="B64" s="6" t="s">
        <v>73</v>
      </c>
      <c r="C64" s="7">
        <v>40</v>
      </c>
      <c r="D64" s="7" t="str">
        <f>VLOOKUP(C64,'5-Genre Codes'!$A$1:$B$11,2,FALSE)</f>
        <v>Fantasy</v>
      </c>
      <c r="E64" s="8">
        <v>2005</v>
      </c>
      <c r="F64" s="6">
        <v>14950</v>
      </c>
      <c r="G64" s="6" t="str">
        <f>VLOOKUP(F64,'4-Actor Codes'!$A$1:$B$622,2,FALSE)</f>
        <v>Kiran Shah</v>
      </c>
      <c r="H64" s="8" t="s">
        <v>10</v>
      </c>
      <c r="I64" s="9">
        <v>291710957</v>
      </c>
      <c r="J64" s="10">
        <v>428828615</v>
      </c>
      <c r="L64" s="10">
        <v>180000000</v>
      </c>
      <c r="M64" s="13"/>
      <c r="N64" s="13"/>
      <c r="O64" s="13"/>
      <c r="P64" s="13"/>
    </row>
    <row r="65" spans="1:16" x14ac:dyDescent="0.35">
      <c r="A65" s="5">
        <v>64</v>
      </c>
      <c r="B65" s="6" t="s">
        <v>74</v>
      </c>
      <c r="C65" s="7">
        <v>90</v>
      </c>
      <c r="D65" s="7" t="str">
        <f>VLOOKUP(C65,'5-Genre Codes'!$A$1:$B$11,2,FALSE)</f>
        <v>Super Hero</v>
      </c>
      <c r="E65" s="8">
        <v>2012</v>
      </c>
      <c r="F65" s="6">
        <v>13210</v>
      </c>
      <c r="G65" s="6" t="str">
        <f>VLOOKUP(F65,'4-Actor Codes'!$A$1:$B$622,2,FALSE)</f>
        <v>Henry Cavill</v>
      </c>
      <c r="H65" s="8" t="s">
        <v>13</v>
      </c>
      <c r="I65" s="9">
        <v>291045518</v>
      </c>
      <c r="J65" s="10">
        <v>376954000</v>
      </c>
      <c r="L65" s="10">
        <v>225000000</v>
      </c>
      <c r="M65" s="13"/>
      <c r="N65" s="13"/>
      <c r="O65" s="13"/>
      <c r="P65" s="13"/>
    </row>
    <row r="66" spans="1:16" ht="31" x14ac:dyDescent="0.35">
      <c r="A66" s="5">
        <v>65</v>
      </c>
      <c r="B66" s="6" t="s">
        <v>75</v>
      </c>
      <c r="C66" s="7">
        <v>80</v>
      </c>
      <c r="D66" s="7" t="str">
        <f>VLOOKUP(C66,'5-Genre Codes'!$A$1:$B$11,2,FALSE)</f>
        <v>Science Fiction</v>
      </c>
      <c r="E66" s="8">
        <v>1980</v>
      </c>
      <c r="F66" s="6">
        <v>14035</v>
      </c>
      <c r="G66" s="6" t="str">
        <f>VLOOKUP(F66,'4-Actor Codes'!$A$1:$B$622,2,FALSE)</f>
        <v>Jeremy Bulloch</v>
      </c>
      <c r="H66" s="8" t="s">
        <v>13</v>
      </c>
      <c r="I66" s="9">
        <v>290158751</v>
      </c>
      <c r="J66" s="10">
        <v>243900000</v>
      </c>
      <c r="L66" s="10">
        <v>23000000</v>
      </c>
      <c r="M66" s="13"/>
      <c r="N66" s="13"/>
      <c r="O66" s="13"/>
      <c r="P66" s="13"/>
    </row>
    <row r="67" spans="1:16" ht="31" x14ac:dyDescent="0.35">
      <c r="A67" s="5">
        <v>66</v>
      </c>
      <c r="B67" s="6" t="s">
        <v>76</v>
      </c>
      <c r="C67" s="7">
        <v>40</v>
      </c>
      <c r="D67" s="7" t="str">
        <f>VLOOKUP(C67,'5-Genre Codes'!$A$1:$B$11,2,FALSE)</f>
        <v>Fantasy</v>
      </c>
      <c r="E67" s="8">
        <v>2005</v>
      </c>
      <c r="F67" s="6">
        <v>12160</v>
      </c>
      <c r="G67" s="6" t="str">
        <f>VLOOKUP(F67,'4-Actor Codes'!$A$1:$B$622,2,FALSE)</f>
        <v>Devon Murray</v>
      </c>
      <c r="H67" s="8" t="s">
        <v>13</v>
      </c>
      <c r="I67" s="9">
        <v>290013036</v>
      </c>
      <c r="J67" s="10">
        <v>606898042</v>
      </c>
      <c r="L67" s="10">
        <v>150000000</v>
      </c>
      <c r="M67" s="13"/>
      <c r="N67" s="13"/>
      <c r="O67" s="13"/>
      <c r="P67" s="13"/>
    </row>
    <row r="68" spans="1:16" x14ac:dyDescent="0.35">
      <c r="A68" s="5">
        <v>67</v>
      </c>
      <c r="B68" s="6" t="s">
        <v>77</v>
      </c>
      <c r="C68" s="7">
        <v>60</v>
      </c>
      <c r="D68" s="7" t="str">
        <f>VLOOKUP(C68,'5-Genre Codes'!$A$1:$B$11,2,FALSE)</f>
        <v>Kids Fiction</v>
      </c>
      <c r="E68" s="8">
        <v>2001</v>
      </c>
      <c r="F68" s="6">
        <v>10855</v>
      </c>
      <c r="G68" s="6" t="str">
        <f>VLOOKUP(F68,'4-Actor Codes'!$A$1:$B$622,2,FALSE)</f>
        <v>Billy Crystal</v>
      </c>
      <c r="H68" s="8" t="s">
        <v>10</v>
      </c>
      <c r="I68" s="9">
        <v>289423425</v>
      </c>
      <c r="J68" s="10">
        <v>270334294</v>
      </c>
      <c r="L68" s="10">
        <v>115000000</v>
      </c>
      <c r="M68" s="13"/>
      <c r="N68" s="13"/>
      <c r="O68" s="13"/>
      <c r="P68" s="13"/>
    </row>
    <row r="69" spans="1:16" ht="31" x14ac:dyDescent="0.35">
      <c r="A69" s="5">
        <v>68</v>
      </c>
      <c r="B69" s="6" t="s">
        <v>78</v>
      </c>
      <c r="C69" s="7">
        <v>80</v>
      </c>
      <c r="D69" s="7" t="str">
        <f>VLOOKUP(C69,'5-Genre Codes'!$A$1:$B$11,2,FALSE)</f>
        <v>Science Fiction</v>
      </c>
      <c r="E69" s="8">
        <v>2003</v>
      </c>
      <c r="F69" s="6">
        <v>14755</v>
      </c>
      <c r="G69" s="6" t="str">
        <f>VLOOKUP(F69,'4-Actor Codes'!$A$1:$B$622,2,FALSE)</f>
        <v>Keanu Reeves</v>
      </c>
      <c r="H69" s="8" t="s">
        <v>13</v>
      </c>
      <c r="I69" s="9">
        <v>281553689</v>
      </c>
      <c r="J69" s="10">
        <v>457023240</v>
      </c>
      <c r="L69" s="10">
        <v>150000000</v>
      </c>
      <c r="M69" s="13"/>
      <c r="N69" s="13"/>
      <c r="O69" s="13"/>
      <c r="P69" s="13"/>
    </row>
    <row r="70" spans="1:16" ht="31" x14ac:dyDescent="0.35">
      <c r="A70" s="5">
        <v>69</v>
      </c>
      <c r="B70" s="6" t="s">
        <v>79</v>
      </c>
      <c r="C70" s="7">
        <v>40</v>
      </c>
      <c r="D70" s="7" t="str">
        <f>VLOOKUP(C70,'5-Genre Codes'!$A$1:$B$11,2,FALSE)</f>
        <v>Fantasy</v>
      </c>
      <c r="E70" s="8">
        <v>2011</v>
      </c>
      <c r="F70" s="6">
        <v>15010</v>
      </c>
      <c r="G70" s="6" t="str">
        <f>VLOOKUP(F70,'4-Actor Codes'!$A$1:$B$622,2,FALSE)</f>
        <v>Kristen Stewart</v>
      </c>
      <c r="H70" s="8" t="s">
        <v>13</v>
      </c>
      <c r="I70" s="9">
        <v>281287133</v>
      </c>
      <c r="J70" s="10">
        <v>408132918</v>
      </c>
      <c r="L70" s="10">
        <v>127500000</v>
      </c>
      <c r="M70" s="13"/>
      <c r="N70" s="13"/>
      <c r="O70" s="13"/>
      <c r="P70" s="13"/>
    </row>
    <row r="71" spans="1:16" ht="31" x14ac:dyDescent="0.35">
      <c r="A71" s="5">
        <v>70</v>
      </c>
      <c r="B71" s="6" t="s">
        <v>80</v>
      </c>
      <c r="C71" s="7">
        <v>10</v>
      </c>
      <c r="D71" s="7" t="str">
        <f>VLOOKUP(C71,'5-Genre Codes'!$A$1:$B$11,2,FALSE)</f>
        <v>Contemporary Fiction</v>
      </c>
      <c r="E71" s="8">
        <v>2004</v>
      </c>
      <c r="F71" s="6">
        <v>10660</v>
      </c>
      <c r="G71" s="6" t="str">
        <f>VLOOKUP(F71,'4-Actor Codes'!$A$1:$B$622,2,FALSE)</f>
        <v>Ben Stiller</v>
      </c>
      <c r="H71" s="8" t="s">
        <v>13</v>
      </c>
      <c r="I71" s="9">
        <v>279167575</v>
      </c>
      <c r="J71" s="10">
        <v>237400000</v>
      </c>
      <c r="L71" s="10">
        <v>60000000</v>
      </c>
      <c r="M71" s="13"/>
      <c r="N71" s="13"/>
      <c r="O71" s="13"/>
      <c r="P71" s="13"/>
    </row>
    <row r="72" spans="1:16" ht="31" x14ac:dyDescent="0.35">
      <c r="A72" s="5">
        <v>71</v>
      </c>
      <c r="B72" s="6" t="s">
        <v>81</v>
      </c>
      <c r="C72" s="7">
        <v>10</v>
      </c>
      <c r="D72" s="7" t="str">
        <f>VLOOKUP(C72,'5-Genre Codes'!$A$1:$B$11,2,FALSE)</f>
        <v>Contemporary Fiction</v>
      </c>
      <c r="E72" s="8">
        <v>1990</v>
      </c>
      <c r="F72" s="6">
        <v>15940</v>
      </c>
      <c r="G72" s="6" t="str">
        <f>VLOOKUP(F72,'4-Actor Codes'!$A$1:$B$622,2,FALSE)</f>
        <v>Michael C. Maronna</v>
      </c>
      <c r="H72" s="8" t="s">
        <v>10</v>
      </c>
      <c r="I72" s="9">
        <v>277504018</v>
      </c>
      <c r="J72" s="10">
        <v>190923432</v>
      </c>
      <c r="L72" s="10">
        <v>15000000</v>
      </c>
      <c r="M72" s="13"/>
      <c r="N72" s="13"/>
      <c r="O72" s="13"/>
      <c r="P72" s="13"/>
    </row>
    <row r="73" spans="1:16" ht="31" x14ac:dyDescent="0.35">
      <c r="A73" s="5">
        <v>72</v>
      </c>
      <c r="B73" s="6" t="s">
        <v>82</v>
      </c>
      <c r="C73" s="7">
        <v>10</v>
      </c>
      <c r="D73" s="7" t="str">
        <f>VLOOKUP(C73,'5-Genre Codes'!$A$1:$B$11,2,FALSE)</f>
        <v>Contemporary Fiction</v>
      </c>
      <c r="E73" s="8">
        <v>2009</v>
      </c>
      <c r="F73" s="6">
        <v>16225</v>
      </c>
      <c r="G73" s="6" t="str">
        <f>VLOOKUP(F73,'4-Actor Codes'!$A$1:$B$622,2,FALSE)</f>
        <v>Mike Tyson</v>
      </c>
      <c r="H73" s="8" t="s">
        <v>10</v>
      </c>
      <c r="I73" s="9">
        <v>277322503</v>
      </c>
      <c r="J73" s="10">
        <v>188441583</v>
      </c>
      <c r="L73" s="10">
        <v>35000000</v>
      </c>
      <c r="M73" s="13"/>
      <c r="N73" s="13"/>
      <c r="O73" s="13"/>
      <c r="P73" s="13"/>
    </row>
    <row r="74" spans="1:16" ht="31" x14ac:dyDescent="0.35">
      <c r="A74" s="5">
        <v>73</v>
      </c>
      <c r="B74" s="6" t="s">
        <v>83</v>
      </c>
      <c r="C74" s="7">
        <v>10</v>
      </c>
      <c r="D74" s="7" t="str">
        <f>VLOOKUP(C74,'5-Genre Codes'!$A$1:$B$11,2,FALSE)</f>
        <v>Contemporary Fiction</v>
      </c>
      <c r="E74" s="8">
        <v>2012</v>
      </c>
      <c r="F74" s="6">
        <v>12925</v>
      </c>
      <c r="G74" s="6" t="str">
        <f>VLOOKUP(F74,'4-Actor Codes'!$A$1:$B$622,2,FALSE)</f>
        <v>George Clooney</v>
      </c>
      <c r="H74" s="8" t="s">
        <v>10</v>
      </c>
      <c r="I74" s="9">
        <v>274092705</v>
      </c>
      <c r="J74" s="10">
        <v>442300000</v>
      </c>
      <c r="L74" s="10">
        <v>110000000</v>
      </c>
      <c r="M74" s="13"/>
      <c r="N74" s="13"/>
      <c r="O74" s="13"/>
      <c r="P74" s="13"/>
    </row>
    <row r="75" spans="1:16" x14ac:dyDescent="0.35">
      <c r="A75" s="5">
        <v>74</v>
      </c>
      <c r="B75" s="6" t="s">
        <v>84</v>
      </c>
      <c r="C75" s="7">
        <v>60</v>
      </c>
      <c r="D75" s="7" t="str">
        <f>VLOOKUP(C75,'5-Genre Codes'!$A$1:$B$11,2,FALSE)</f>
        <v>Kids Fiction</v>
      </c>
      <c r="E75" s="8">
        <v>2012</v>
      </c>
      <c r="F75" s="6">
        <v>10855</v>
      </c>
      <c r="G75" s="6" t="str">
        <f>VLOOKUP(F75,'4-Actor Codes'!$A$1:$B$622,2,FALSE)</f>
        <v>Billy Crystal</v>
      </c>
      <c r="H75" s="8" t="s">
        <v>13</v>
      </c>
      <c r="I75" s="9">
        <v>268488329</v>
      </c>
      <c r="J75" s="10">
        <v>475100000</v>
      </c>
      <c r="L75" s="10">
        <v>200000000</v>
      </c>
      <c r="M75" s="13"/>
      <c r="N75" s="13"/>
      <c r="O75" s="13"/>
      <c r="P75" s="13"/>
    </row>
    <row r="76" spans="1:16" x14ac:dyDescent="0.35">
      <c r="A76" s="5">
        <v>75</v>
      </c>
      <c r="B76" s="6" t="s">
        <v>85</v>
      </c>
      <c r="C76" s="7">
        <v>60</v>
      </c>
      <c r="D76" s="7" t="str">
        <f>VLOOKUP(C76,'5-Genre Codes'!$A$1:$B$11,2,FALSE)</f>
        <v>Kids Fiction</v>
      </c>
      <c r="E76" s="8">
        <v>2001</v>
      </c>
      <c r="F76" s="6">
        <v>16180</v>
      </c>
      <c r="G76" s="6" t="str">
        <f>VLOOKUP(F76,'4-Actor Codes'!$A$1:$B$622,2,FALSE)</f>
        <v>Mike Myers</v>
      </c>
      <c r="H76" s="8" t="s">
        <v>10</v>
      </c>
      <c r="I76" s="9">
        <v>267655011</v>
      </c>
      <c r="J76" s="10">
        <v>224157783</v>
      </c>
      <c r="L76" s="10">
        <v>50000000</v>
      </c>
      <c r="M76" s="13"/>
      <c r="N76" s="13"/>
      <c r="O76" s="13"/>
      <c r="P76" s="13"/>
    </row>
    <row r="77" spans="1:16" ht="31" x14ac:dyDescent="0.35">
      <c r="A77" s="5">
        <v>76</v>
      </c>
      <c r="B77" s="6" t="s">
        <v>86</v>
      </c>
      <c r="C77" s="7">
        <v>90</v>
      </c>
      <c r="D77" s="7" t="str">
        <f>VLOOKUP(C77,'5-Genre Codes'!$A$1:$B$11,2,FALSE)</f>
        <v>Super Hero</v>
      </c>
      <c r="E77" s="8">
        <v>2012</v>
      </c>
      <c r="F77" s="6">
        <v>10255</v>
      </c>
      <c r="G77" s="6" t="str">
        <f>VLOOKUP(F77,'4-Actor Codes'!$A$1:$B$622,2,FALSE)</f>
        <v>Andrew Garfield</v>
      </c>
      <c r="H77" s="8" t="s">
        <v>13</v>
      </c>
      <c r="I77" s="9">
        <v>262030663</v>
      </c>
      <c r="J77" s="10">
        <v>100019072</v>
      </c>
      <c r="L77" s="10">
        <v>110000000</v>
      </c>
      <c r="M77" s="13"/>
      <c r="N77" s="13"/>
      <c r="O77" s="13"/>
      <c r="P77" s="13"/>
    </row>
    <row r="78" spans="1:16" x14ac:dyDescent="0.35">
      <c r="A78" s="5">
        <v>77</v>
      </c>
      <c r="B78" s="6" t="s">
        <v>87</v>
      </c>
      <c r="C78" s="7">
        <v>40</v>
      </c>
      <c r="D78" s="7" t="str">
        <f>VLOOKUP(C78,'5-Genre Codes'!$A$1:$B$11,2,FALSE)</f>
        <v>Fantasy</v>
      </c>
      <c r="E78" s="8">
        <v>2002</v>
      </c>
      <c r="F78" s="6">
        <v>11425</v>
      </c>
      <c r="G78" s="6" t="str">
        <f>VLOOKUP(F78,'4-Actor Codes'!$A$1:$B$622,2,FALSE)</f>
        <v>Chris Rankin</v>
      </c>
      <c r="H78" s="8" t="s">
        <v>13</v>
      </c>
      <c r="I78" s="9">
        <v>261987880</v>
      </c>
      <c r="J78" s="10">
        <v>616991754</v>
      </c>
      <c r="L78" s="10">
        <v>100000000</v>
      </c>
      <c r="M78" s="13"/>
      <c r="N78" s="13"/>
      <c r="O78" s="13"/>
      <c r="P78" s="13"/>
    </row>
    <row r="79" spans="1:16" x14ac:dyDescent="0.35">
      <c r="A79" s="5">
        <v>78</v>
      </c>
      <c r="B79" s="6" t="s">
        <v>88</v>
      </c>
      <c r="C79" s="7">
        <v>60</v>
      </c>
      <c r="D79" s="7" t="str">
        <f>VLOOKUP(C79,'5-Genre Codes'!$A$1:$B$11,2,FALSE)</f>
        <v>Kids Fiction</v>
      </c>
      <c r="E79" s="8">
        <v>2004</v>
      </c>
      <c r="F79" s="6">
        <v>15370</v>
      </c>
      <c r="G79" s="6" t="str">
        <f>VLOOKUP(F79,'4-Actor Codes'!$A$1:$B$622,2,FALSE)</f>
        <v>Lou Romano</v>
      </c>
      <c r="H79" s="8" t="s">
        <v>10</v>
      </c>
      <c r="I79" s="9">
        <v>261441092</v>
      </c>
      <c r="J79" s="10">
        <v>353285660</v>
      </c>
      <c r="L79" s="10">
        <v>92000000</v>
      </c>
      <c r="M79" s="13"/>
      <c r="N79" s="13"/>
      <c r="O79" s="13"/>
      <c r="P79" s="13"/>
    </row>
    <row r="80" spans="1:16" x14ac:dyDescent="0.35">
      <c r="A80" s="5">
        <v>79</v>
      </c>
      <c r="B80" s="6" t="s">
        <v>89</v>
      </c>
      <c r="C80" s="7">
        <v>60</v>
      </c>
      <c r="D80" s="7" t="str">
        <f>VLOOKUP(C80,'5-Genre Codes'!$A$1:$B$11,2,FALSE)</f>
        <v>Kids Fiction</v>
      </c>
      <c r="E80" s="8">
        <v>2000</v>
      </c>
      <c r="F80" s="6">
        <v>18415</v>
      </c>
      <c r="G80" s="6" t="str">
        <f>VLOOKUP(F80,'4-Actor Codes'!$A$1:$B$622,2,FALSE)</f>
        <v>T.J. Thyne</v>
      </c>
      <c r="H80" s="8" t="s">
        <v>10</v>
      </c>
      <c r="I80" s="9">
        <v>260044825</v>
      </c>
      <c r="J80" s="10">
        <v>85096578</v>
      </c>
      <c r="L80" s="10">
        <v>123000000</v>
      </c>
      <c r="M80" s="13"/>
      <c r="N80" s="13"/>
      <c r="O80" s="13"/>
      <c r="P80" s="13"/>
    </row>
    <row r="81" spans="1:16" ht="31" x14ac:dyDescent="0.35">
      <c r="A81" s="5">
        <v>80</v>
      </c>
      <c r="B81" s="6" t="s">
        <v>90</v>
      </c>
      <c r="C81" s="7">
        <v>10</v>
      </c>
      <c r="D81" s="7" t="str">
        <f>VLOOKUP(C81,'5-Genre Codes'!$A$1:$B$11,2,FALSE)</f>
        <v>Contemporary Fiction</v>
      </c>
      <c r="E81" s="8">
        <v>1975</v>
      </c>
      <c r="F81" s="6">
        <v>17275</v>
      </c>
      <c r="G81" s="6" t="str">
        <f>VLOOKUP(F81,'4-Actor Codes'!$A$1:$B$622,2,FALSE)</f>
        <v>Robert Chambers</v>
      </c>
      <c r="H81" s="8" t="s">
        <v>10</v>
      </c>
      <c r="I81" s="9">
        <v>260000000</v>
      </c>
      <c r="J81" s="10">
        <v>210700000</v>
      </c>
      <c r="L81" s="10">
        <v>12000000</v>
      </c>
      <c r="M81" s="13"/>
      <c r="N81" s="13"/>
      <c r="O81" s="13"/>
      <c r="P81" s="13"/>
    </row>
    <row r="82" spans="1:16" x14ac:dyDescent="0.35">
      <c r="A82" s="5">
        <v>81</v>
      </c>
      <c r="B82" s="6" t="s">
        <v>91</v>
      </c>
      <c r="C82" s="7">
        <v>80</v>
      </c>
      <c r="D82" s="7" t="str">
        <f>VLOOKUP(C82,'5-Genre Codes'!$A$1:$B$11,2,FALSE)</f>
        <v>Science Fiction</v>
      </c>
      <c r="E82" s="8">
        <v>2014</v>
      </c>
      <c r="F82" s="6">
        <v>11365</v>
      </c>
      <c r="G82" s="6" t="str">
        <f>VLOOKUP(F82,'4-Actor Codes'!$A$1:$B$622,2,FALSE)</f>
        <v>Chris Evans</v>
      </c>
      <c r="H82" s="8" t="s">
        <v>13</v>
      </c>
      <c r="I82" s="9">
        <v>259746958</v>
      </c>
      <c r="J82" s="10">
        <v>454100000</v>
      </c>
      <c r="L82" s="10">
        <v>170000000</v>
      </c>
      <c r="M82" s="13"/>
      <c r="N82" s="13"/>
      <c r="O82" s="13"/>
      <c r="P82" s="13"/>
    </row>
    <row r="83" spans="1:16" ht="31" x14ac:dyDescent="0.35">
      <c r="A83" s="5">
        <v>82</v>
      </c>
      <c r="B83" s="6" t="s">
        <v>92</v>
      </c>
      <c r="C83" s="7">
        <v>40</v>
      </c>
      <c r="D83" s="7" t="str">
        <f>VLOOKUP(C83,'5-Genre Codes'!$A$1:$B$11,2,FALSE)</f>
        <v>Fantasy</v>
      </c>
      <c r="E83" s="8">
        <v>2013</v>
      </c>
      <c r="F83" s="6">
        <v>15595</v>
      </c>
      <c r="G83" s="6" t="str">
        <f>VLOOKUP(F83,'4-Actor Codes'!$A$1:$B$622,2,FALSE)</f>
        <v>Martin Freeman</v>
      </c>
      <c r="H83" s="8" t="s">
        <v>13</v>
      </c>
      <c r="I83" s="9">
        <v>258366855</v>
      </c>
      <c r="J83" s="10">
        <v>702000000</v>
      </c>
      <c r="L83" s="10">
        <v>250000000</v>
      </c>
      <c r="M83" s="13"/>
      <c r="N83" s="13"/>
      <c r="O83" s="13"/>
      <c r="P83" s="13"/>
    </row>
    <row r="84" spans="1:16" ht="31" x14ac:dyDescent="0.35">
      <c r="A84" s="5">
        <v>83</v>
      </c>
      <c r="B84" s="6" t="s">
        <v>93</v>
      </c>
      <c r="C84" s="7">
        <v>60</v>
      </c>
      <c r="D84" s="7" t="str">
        <f>VLOOKUP(C84,'5-Genre Codes'!$A$1:$B$11,2,FALSE)</f>
        <v>Kids Fiction</v>
      </c>
      <c r="E84" s="8">
        <v>2013</v>
      </c>
      <c r="F84" s="6">
        <v>10180</v>
      </c>
      <c r="G84" s="6" t="str">
        <f>VLOOKUP(F84,'4-Actor Codes'!$A$1:$B$622,2,FALSE)</f>
        <v>Amanda Farinos</v>
      </c>
      <c r="H84" s="8" t="s">
        <v>10</v>
      </c>
      <c r="I84" s="9">
        <v>257784718</v>
      </c>
      <c r="J84" s="10">
        <v>199944670</v>
      </c>
      <c r="L84" s="10">
        <v>60000000</v>
      </c>
      <c r="M84" s="13"/>
      <c r="N84" s="13"/>
      <c r="O84" s="13"/>
      <c r="P84" s="13"/>
    </row>
    <row r="85" spans="1:16" ht="31" x14ac:dyDescent="0.35">
      <c r="A85" s="5">
        <v>84</v>
      </c>
      <c r="B85" s="6" t="s">
        <v>94</v>
      </c>
      <c r="C85" s="7">
        <v>80</v>
      </c>
      <c r="D85" s="7" t="str">
        <f>VLOOKUP(C85,'5-Genre Codes'!$A$1:$B$11,2,FALSE)</f>
        <v>Science Fiction</v>
      </c>
      <c r="E85" s="8">
        <v>2009</v>
      </c>
      <c r="F85" s="6">
        <v>19300</v>
      </c>
      <c r="G85" s="6" t="str">
        <f>VLOOKUP(F85,'4-Actor Codes'!$A$1:$B$622,2,FALSE)</f>
        <v>Zachary Quinto</v>
      </c>
      <c r="H85" s="8" t="s">
        <v>13</v>
      </c>
      <c r="I85" s="9">
        <v>257730019</v>
      </c>
      <c r="J85" s="10">
        <v>127950427</v>
      </c>
      <c r="L85" s="10">
        <v>140000000</v>
      </c>
      <c r="M85" s="13"/>
      <c r="N85" s="13"/>
      <c r="O85" s="13"/>
      <c r="P85" s="13"/>
    </row>
    <row r="86" spans="1:16" ht="31" x14ac:dyDescent="0.35">
      <c r="A86" s="5">
        <v>85</v>
      </c>
      <c r="B86" s="6" t="s">
        <v>95</v>
      </c>
      <c r="C86" s="7">
        <v>80</v>
      </c>
      <c r="D86" s="7" t="str">
        <f>VLOOKUP(C86,'5-Genre Codes'!$A$1:$B$11,2,FALSE)</f>
        <v>Science Fiction</v>
      </c>
      <c r="E86" s="8">
        <v>2007</v>
      </c>
      <c r="F86" s="6">
        <v>12535</v>
      </c>
      <c r="G86" s="6" t="str">
        <f>VLOOKUP(F86,'4-Actor Codes'!$A$1:$B$622,2,FALSE)</f>
        <v>Emma Thompson</v>
      </c>
      <c r="H86" s="8" t="s">
        <v>10</v>
      </c>
      <c r="I86" s="9">
        <v>256393010</v>
      </c>
      <c r="J86" s="10">
        <v>329139674</v>
      </c>
      <c r="L86" s="10">
        <v>150000000</v>
      </c>
      <c r="M86" s="13"/>
      <c r="N86" s="13"/>
      <c r="O86" s="13"/>
      <c r="P86" s="13"/>
    </row>
    <row r="87" spans="1:16" x14ac:dyDescent="0.35">
      <c r="A87" s="5">
        <v>86</v>
      </c>
      <c r="B87" s="6" t="s">
        <v>96</v>
      </c>
      <c r="C87" s="7">
        <v>20</v>
      </c>
      <c r="D87" s="7" t="str">
        <f>VLOOKUP(C87,'5-Genre Codes'!$A$1:$B$11,2,FALSE)</f>
        <v>Dramatization</v>
      </c>
      <c r="E87" s="8">
        <v>2009</v>
      </c>
      <c r="F87" s="6">
        <v>18595</v>
      </c>
      <c r="G87" s="6" t="str">
        <f>VLOOKUP(F87,'4-Actor Codes'!$A$1:$B$622,2,FALSE)</f>
        <v>Tim McGraw</v>
      </c>
      <c r="H87" s="8" t="s">
        <v>10</v>
      </c>
      <c r="I87" s="9">
        <v>255959475</v>
      </c>
      <c r="J87" s="10">
        <v>49746319</v>
      </c>
      <c r="L87" s="10">
        <v>35000000</v>
      </c>
      <c r="M87" s="13"/>
      <c r="N87" s="13"/>
      <c r="O87" s="13"/>
      <c r="P87" s="13"/>
    </row>
    <row r="88" spans="1:16" ht="31" x14ac:dyDescent="0.35">
      <c r="A88" s="5">
        <v>87</v>
      </c>
      <c r="B88" s="6" t="s">
        <v>97</v>
      </c>
      <c r="C88" s="7">
        <v>40</v>
      </c>
      <c r="D88" s="7" t="str">
        <f>VLOOKUP(C88,'5-Genre Codes'!$A$1:$B$11,2,FALSE)</f>
        <v>Fantasy</v>
      </c>
      <c r="E88" s="8">
        <v>2014</v>
      </c>
      <c r="F88" s="6">
        <v>15595</v>
      </c>
      <c r="G88" s="6" t="str">
        <f>VLOOKUP(F88,'4-Actor Codes'!$A$1:$B$622,2,FALSE)</f>
        <v>Martin Freeman</v>
      </c>
      <c r="H88" s="8" t="s">
        <v>13</v>
      </c>
      <c r="I88" s="9">
        <v>255119788</v>
      </c>
      <c r="J88" s="10">
        <v>700000000</v>
      </c>
      <c r="L88" s="10">
        <v>250000000</v>
      </c>
      <c r="M88" s="13"/>
      <c r="N88" s="13"/>
      <c r="O88" s="13"/>
      <c r="P88" s="13"/>
    </row>
    <row r="89" spans="1:16" ht="31" x14ac:dyDescent="0.35">
      <c r="A89" s="5">
        <v>88</v>
      </c>
      <c r="B89" s="6" t="s">
        <v>98</v>
      </c>
      <c r="C89" s="7">
        <v>10</v>
      </c>
      <c r="D89" s="7" t="str">
        <f>VLOOKUP(C89,'5-Genre Codes'!$A$1:$B$11,2,FALSE)</f>
        <v>Contemporary Fiction</v>
      </c>
      <c r="E89" s="8">
        <v>2011</v>
      </c>
      <c r="F89" s="6">
        <v>19270</v>
      </c>
      <c r="G89" s="6" t="str">
        <f>VLOOKUP(F89,'4-Actor Codes'!$A$1:$B$622,2,FALSE)</f>
        <v>Zach Galifianakis</v>
      </c>
      <c r="H89" s="8" t="s">
        <v>13</v>
      </c>
      <c r="I89" s="9">
        <v>254464305</v>
      </c>
      <c r="J89" s="10">
        <v>332000000</v>
      </c>
      <c r="L89" s="10">
        <v>80000000</v>
      </c>
      <c r="M89" s="13"/>
      <c r="N89" s="13"/>
      <c r="O89" s="13"/>
      <c r="P89" s="13"/>
    </row>
    <row r="90" spans="1:16" ht="31" x14ac:dyDescent="0.35">
      <c r="A90" s="5">
        <v>89</v>
      </c>
      <c r="B90" s="6" t="s">
        <v>99</v>
      </c>
      <c r="C90" s="7">
        <v>60</v>
      </c>
      <c r="D90" s="7" t="str">
        <f>VLOOKUP(C90,'5-Genre Codes'!$A$1:$B$11,2,FALSE)</f>
        <v>Kids Fiction</v>
      </c>
      <c r="E90" s="8">
        <v>2010</v>
      </c>
      <c r="F90" s="6">
        <v>13420</v>
      </c>
      <c r="G90" s="6" t="str">
        <f>VLOOKUP(F90,'4-Actor Codes'!$A$1:$B$622,2,FALSE)</f>
        <v>Jack McBrayer</v>
      </c>
      <c r="H90" s="8" t="s">
        <v>10</v>
      </c>
      <c r="I90" s="9">
        <v>251513985</v>
      </c>
      <c r="J90" s="10">
        <v>291981048</v>
      </c>
      <c r="L90" s="10">
        <v>69000000</v>
      </c>
      <c r="M90" s="13"/>
      <c r="N90" s="13"/>
      <c r="O90" s="13"/>
      <c r="P90" s="13"/>
    </row>
    <row r="91" spans="1:16" x14ac:dyDescent="0.35">
      <c r="A91" s="5">
        <v>90</v>
      </c>
      <c r="B91" s="6" t="s">
        <v>100</v>
      </c>
      <c r="C91" s="7">
        <v>60</v>
      </c>
      <c r="D91" s="7" t="str">
        <f>VLOOKUP(C91,'5-Genre Codes'!$A$1:$B$11,2,FALSE)</f>
        <v>Kids Fiction</v>
      </c>
      <c r="E91" s="8">
        <v>2006</v>
      </c>
      <c r="F91" s="6">
        <v>10660</v>
      </c>
      <c r="G91" s="6" t="str">
        <f>VLOOKUP(F91,'4-Actor Codes'!$A$1:$B$622,2,FALSE)</f>
        <v>Ben Stiller</v>
      </c>
      <c r="H91" s="8" t="s">
        <v>10</v>
      </c>
      <c r="I91" s="9">
        <v>250863268</v>
      </c>
      <c r="J91" s="10">
        <v>330707025</v>
      </c>
      <c r="L91" s="10">
        <v>110000000</v>
      </c>
      <c r="M91" s="13"/>
      <c r="N91" s="13"/>
      <c r="O91" s="13"/>
      <c r="P91" s="13"/>
    </row>
    <row r="92" spans="1:16" ht="31" x14ac:dyDescent="0.35">
      <c r="A92" s="5">
        <v>91</v>
      </c>
      <c r="B92" s="6" t="s">
        <v>101</v>
      </c>
      <c r="C92" s="7">
        <v>80</v>
      </c>
      <c r="D92" s="7" t="str">
        <f>VLOOKUP(C92,'5-Genre Codes'!$A$1:$B$11,2,FALSE)</f>
        <v>Science Fiction</v>
      </c>
      <c r="E92" s="8">
        <v>1997</v>
      </c>
      <c r="F92" s="6">
        <v>18865</v>
      </c>
      <c r="G92" s="6" t="str">
        <f>VLOOKUP(F92,'4-Actor Codes'!$A$1:$B$622,2,FALSE)</f>
        <v>Tommy Lee Jones</v>
      </c>
      <c r="H92" s="8" t="s">
        <v>10</v>
      </c>
      <c r="I92" s="9">
        <v>250147615</v>
      </c>
      <c r="J92" s="10">
        <v>337100000</v>
      </c>
      <c r="L92" s="10">
        <v>90000000</v>
      </c>
      <c r="M92" s="13"/>
      <c r="N92" s="13"/>
      <c r="O92" s="13"/>
      <c r="P92" s="13"/>
    </row>
    <row r="93" spans="1:16" ht="31" x14ac:dyDescent="0.35">
      <c r="A93" s="5">
        <v>92</v>
      </c>
      <c r="B93" s="6" t="s">
        <v>102</v>
      </c>
      <c r="C93" s="7">
        <v>40</v>
      </c>
      <c r="D93" s="7" t="str">
        <f>VLOOKUP(C93,'5-Genre Codes'!$A$1:$B$11,2,FALSE)</f>
        <v>Fantasy</v>
      </c>
      <c r="E93" s="8">
        <v>2004</v>
      </c>
      <c r="F93" s="6">
        <v>12160</v>
      </c>
      <c r="G93" s="6" t="str">
        <f>VLOOKUP(F93,'4-Actor Codes'!$A$1:$B$622,2,FALSE)</f>
        <v>Devon Murray</v>
      </c>
      <c r="H93" s="8" t="s">
        <v>13</v>
      </c>
      <c r="I93" s="9">
        <v>249538952</v>
      </c>
      <c r="J93" s="10">
        <v>547149597</v>
      </c>
      <c r="L93" s="10">
        <v>130000000</v>
      </c>
      <c r="M93" s="13"/>
      <c r="N93" s="13"/>
      <c r="O93" s="13"/>
      <c r="P93" s="13"/>
    </row>
    <row r="94" spans="1:16" x14ac:dyDescent="0.35">
      <c r="A94" s="5">
        <v>93</v>
      </c>
      <c r="B94" s="6" t="s">
        <v>103</v>
      </c>
      <c r="C94" s="7">
        <v>90</v>
      </c>
      <c r="D94" s="7" t="str">
        <f>VLOOKUP(C94,'5-Genre Codes'!$A$1:$B$11,2,FALSE)</f>
        <v>Super Hero</v>
      </c>
      <c r="E94" s="8">
        <v>1989</v>
      </c>
      <c r="F94" s="6">
        <v>15145</v>
      </c>
      <c r="G94" s="6" t="str">
        <f>VLOOKUP(F94,'4-Actor Codes'!$A$1:$B$622,2,FALSE)</f>
        <v>Lee Wallace</v>
      </c>
      <c r="H94" s="8" t="s">
        <v>10</v>
      </c>
      <c r="I94" s="9">
        <v>248972777</v>
      </c>
      <c r="J94" s="10">
        <v>160160000</v>
      </c>
      <c r="L94" s="10">
        <v>35000000</v>
      </c>
      <c r="M94" s="13"/>
      <c r="N94" s="13"/>
      <c r="O94" s="13"/>
      <c r="P94" s="13"/>
    </row>
    <row r="95" spans="1:16" ht="31" x14ac:dyDescent="0.35">
      <c r="A95" s="5">
        <v>94</v>
      </c>
      <c r="B95" s="6" t="s">
        <v>104</v>
      </c>
      <c r="C95" s="7">
        <v>50</v>
      </c>
      <c r="D95" s="7" t="str">
        <f>VLOOKUP(C95,'5-Genre Codes'!$A$1:$B$11,2,FALSE)</f>
        <v>Historical Fiction</v>
      </c>
      <c r="E95" s="8">
        <v>1981</v>
      </c>
      <c r="F95" s="6">
        <v>13120</v>
      </c>
      <c r="G95" s="6" t="str">
        <f>VLOOKUP(F95,'4-Actor Codes'!$A$1:$B$622,2,FALSE)</f>
        <v>Harrison Ford</v>
      </c>
      <c r="H95" s="8" t="s">
        <v>10</v>
      </c>
      <c r="I95" s="9">
        <v>248159971</v>
      </c>
      <c r="J95" s="10">
        <v>141766000</v>
      </c>
      <c r="L95" s="10">
        <v>20000000</v>
      </c>
      <c r="M95" s="13"/>
      <c r="N95" s="13"/>
      <c r="O95" s="13"/>
      <c r="P95" s="13"/>
    </row>
    <row r="96" spans="1:16" x14ac:dyDescent="0.35">
      <c r="A96" s="5">
        <v>95</v>
      </c>
      <c r="B96" s="6" t="s">
        <v>105</v>
      </c>
      <c r="C96" s="7">
        <v>60</v>
      </c>
      <c r="D96" s="7" t="str">
        <f>VLOOKUP(C96,'5-Genre Codes'!$A$1:$B$11,2,FALSE)</f>
        <v>Kids Fiction</v>
      </c>
      <c r="E96" s="8">
        <v>1999</v>
      </c>
      <c r="F96" s="6">
        <v>18760</v>
      </c>
      <c r="G96" s="6" t="str">
        <f>VLOOKUP(F96,'4-Actor Codes'!$A$1:$B$622,2,FALSE)</f>
        <v>Tom Hanks</v>
      </c>
      <c r="H96" s="8" t="s">
        <v>13</v>
      </c>
      <c r="I96" s="9">
        <v>245823397</v>
      </c>
      <c r="J96" s="10">
        <v>265506097</v>
      </c>
      <c r="L96" s="10">
        <v>90000000</v>
      </c>
      <c r="M96" s="13"/>
      <c r="N96" s="13"/>
      <c r="O96" s="13"/>
      <c r="P96" s="13"/>
    </row>
    <row r="97" spans="1:16" ht="31" x14ac:dyDescent="0.35">
      <c r="A97" s="5">
        <v>96</v>
      </c>
      <c r="B97" s="6" t="s">
        <v>106</v>
      </c>
      <c r="C97" s="7">
        <v>80</v>
      </c>
      <c r="D97" s="7" t="str">
        <f>VLOOKUP(C97,'5-Genre Codes'!$A$1:$B$11,2,FALSE)</f>
        <v>Science Fiction</v>
      </c>
      <c r="E97" s="8">
        <v>2014</v>
      </c>
      <c r="F97" s="6">
        <v>15565</v>
      </c>
      <c r="G97" s="6" t="str">
        <f>VLOOKUP(F97,'4-Actor Codes'!$A$1:$B$622,2,FALSE)</f>
        <v>Mark Wahlberg</v>
      </c>
      <c r="H97" s="8" t="s">
        <v>13</v>
      </c>
      <c r="I97" s="9">
        <v>245439076</v>
      </c>
      <c r="J97" s="10">
        <v>858600000</v>
      </c>
      <c r="L97" s="10">
        <v>210000000</v>
      </c>
      <c r="M97" s="13"/>
      <c r="N97" s="13"/>
      <c r="O97" s="13"/>
      <c r="P97" s="13"/>
    </row>
    <row r="98" spans="1:16" ht="31" x14ac:dyDescent="0.35">
      <c r="A98" s="5">
        <v>97</v>
      </c>
      <c r="B98" s="6" t="s">
        <v>107</v>
      </c>
      <c r="C98" s="7">
        <v>60</v>
      </c>
      <c r="D98" s="7" t="str">
        <f>VLOOKUP(C98,'5-Genre Codes'!$A$1:$B$11,2,FALSE)</f>
        <v>Kids Fiction</v>
      </c>
      <c r="E98" s="8">
        <v>2006</v>
      </c>
      <c r="F98" s="6">
        <v>10285</v>
      </c>
      <c r="G98" s="6" t="str">
        <f>VLOOKUP(F98,'4-Actor Codes'!$A$1:$B$622,2,FALSE)</f>
        <v>Andrew Stanton</v>
      </c>
      <c r="H98" s="8" t="s">
        <v>10</v>
      </c>
      <c r="I98" s="9">
        <v>244082982</v>
      </c>
      <c r="J98" s="10">
        <v>217568264</v>
      </c>
      <c r="L98" s="10">
        <v>70000000</v>
      </c>
      <c r="M98" s="13"/>
      <c r="N98" s="13"/>
      <c r="O98" s="13"/>
      <c r="P98" s="13"/>
    </row>
    <row r="99" spans="1:16" ht="31" x14ac:dyDescent="0.35">
      <c r="A99" s="5">
        <v>98</v>
      </c>
      <c r="B99" s="6" t="s">
        <v>108</v>
      </c>
      <c r="C99" s="7">
        <v>40</v>
      </c>
      <c r="D99" s="7" t="str">
        <f>VLOOKUP(C99,'5-Genre Codes'!$A$1:$B$11,2,FALSE)</f>
        <v>Fantasy</v>
      </c>
      <c r="E99" s="8">
        <v>2003</v>
      </c>
      <c r="F99" s="6">
        <v>17695</v>
      </c>
      <c r="G99" s="6" t="str">
        <f>VLOOKUP(F99,'4-Actor Codes'!$A$1:$B$622,2,FALSE)</f>
        <v>Sally Kirkland</v>
      </c>
      <c r="H99" s="8" t="s">
        <v>10</v>
      </c>
      <c r="I99" s="9">
        <v>242704995</v>
      </c>
      <c r="J99" s="10">
        <v>240768967</v>
      </c>
      <c r="L99" s="10">
        <v>81000000</v>
      </c>
      <c r="M99" s="13"/>
      <c r="N99" s="13"/>
      <c r="O99" s="13"/>
      <c r="P99" s="13"/>
    </row>
    <row r="100" spans="1:16" ht="31" x14ac:dyDescent="0.35">
      <c r="A100" s="5">
        <v>99</v>
      </c>
      <c r="B100" s="6" t="s">
        <v>109</v>
      </c>
      <c r="C100" s="7">
        <v>40</v>
      </c>
      <c r="D100" s="7" t="str">
        <f>VLOOKUP(C100,'5-Genre Codes'!$A$1:$B$11,2,FALSE)</f>
        <v>Fantasy</v>
      </c>
      <c r="E100" s="8">
        <v>1984</v>
      </c>
      <c r="F100" s="6">
        <v>11770</v>
      </c>
      <c r="G100" s="6" t="str">
        <f>VLOOKUP(F100,'4-Actor Codes'!$A$1:$B$622,2,FALSE)</f>
        <v>Dan Aykroyd</v>
      </c>
      <c r="H100" s="8" t="s">
        <v>10</v>
      </c>
      <c r="I100" s="9">
        <v>242212467</v>
      </c>
      <c r="J100" s="10">
        <v>53000000</v>
      </c>
      <c r="L100" s="10">
        <v>30000000</v>
      </c>
      <c r="M100" s="13"/>
      <c r="N100" s="13"/>
      <c r="O100" s="13"/>
      <c r="P100" s="13"/>
    </row>
    <row r="101" spans="1:16" ht="31" x14ac:dyDescent="0.35">
      <c r="A101" s="5">
        <v>100</v>
      </c>
      <c r="B101" s="6" t="s">
        <v>110</v>
      </c>
      <c r="C101" s="7">
        <v>10</v>
      </c>
      <c r="D101" s="7" t="str">
        <f>VLOOKUP(C101,'5-Genre Codes'!$A$1:$B$11,2,FALSE)</f>
        <v>Contemporary Fiction</v>
      </c>
      <c r="E101" s="8">
        <v>1996</v>
      </c>
      <c r="F101" s="6">
        <v>10840</v>
      </c>
      <c r="G101" s="6" t="str">
        <f>VLOOKUP(F101,'4-Actor Codes'!$A$1:$B$622,2,FALSE)</f>
        <v>Bill Paxton</v>
      </c>
      <c r="H101" s="8" t="s">
        <v>10</v>
      </c>
      <c r="I101" s="9">
        <v>241688385</v>
      </c>
      <c r="J101" s="10">
        <v>254011615</v>
      </c>
      <c r="L101" s="10">
        <v>88000000</v>
      </c>
      <c r="M101" s="13"/>
      <c r="N101" s="13"/>
      <c r="O101" s="13"/>
      <c r="P101" s="13"/>
    </row>
    <row r="102" spans="1:16" ht="31" x14ac:dyDescent="0.35">
      <c r="A102" s="5">
        <v>101</v>
      </c>
      <c r="B102" s="6" t="s">
        <v>111</v>
      </c>
      <c r="C102" s="7">
        <v>10</v>
      </c>
      <c r="D102" s="7" t="str">
        <f>VLOOKUP(C102,'5-Genre Codes'!$A$1:$B$11,2,FALSE)</f>
        <v>Contemporary Fiction</v>
      </c>
      <c r="E102" s="8">
        <v>2002</v>
      </c>
      <c r="F102" s="6">
        <v>14305</v>
      </c>
      <c r="G102" s="6" t="str">
        <f>VLOOKUP(F102,'4-Actor Codes'!$A$1:$B$622,2,FALSE)</f>
        <v>John Corbett</v>
      </c>
      <c r="H102" s="8" t="s">
        <v>10</v>
      </c>
      <c r="I102" s="9">
        <v>241438208</v>
      </c>
      <c r="J102" s="10">
        <v>133451826</v>
      </c>
      <c r="L102" s="10">
        <v>5000000</v>
      </c>
      <c r="M102" s="13"/>
      <c r="N102" s="13"/>
      <c r="O102" s="13"/>
      <c r="P102" s="13"/>
    </row>
    <row r="103" spans="1:16" ht="31" x14ac:dyDescent="0.35">
      <c r="A103" s="5">
        <v>102</v>
      </c>
      <c r="B103" s="6" t="s">
        <v>112</v>
      </c>
      <c r="C103" s="7">
        <v>40</v>
      </c>
      <c r="D103" s="7" t="str">
        <f>VLOOKUP(C103,'5-Genre Codes'!$A$1:$B$11,2,FALSE)</f>
        <v>Fantasy</v>
      </c>
      <c r="E103" s="8">
        <v>2013</v>
      </c>
      <c r="F103" s="6">
        <v>10330</v>
      </c>
      <c r="G103" s="6" t="str">
        <f>VLOOKUP(F103,'4-Actor Codes'!$A$1:$B$622,2,FALSE)</f>
        <v>Angelina Jolie</v>
      </c>
      <c r="H103" s="8" t="s">
        <v>10</v>
      </c>
      <c r="I103" s="9">
        <v>241407328</v>
      </c>
      <c r="J103" s="10">
        <v>517000000</v>
      </c>
      <c r="L103" s="10">
        <v>180000000</v>
      </c>
      <c r="M103" s="13"/>
      <c r="N103" s="13"/>
      <c r="O103" s="13"/>
      <c r="P103" s="13"/>
    </row>
    <row r="104" spans="1:16" ht="31" x14ac:dyDescent="0.35">
      <c r="A104" s="5">
        <v>103</v>
      </c>
      <c r="B104" s="6" t="s">
        <v>113</v>
      </c>
      <c r="C104" s="7">
        <v>40</v>
      </c>
      <c r="D104" s="7" t="str">
        <f>VLOOKUP(C104,'5-Genre Codes'!$A$1:$B$11,2,FALSE)</f>
        <v>Fantasy</v>
      </c>
      <c r="E104" s="8">
        <v>2011</v>
      </c>
      <c r="F104" s="6">
        <v>14350</v>
      </c>
      <c r="G104" s="6" t="str">
        <f>VLOOKUP(F104,'4-Actor Codes'!$A$1:$B$622,2,FALSE)</f>
        <v>Johnny Depp</v>
      </c>
      <c r="H104" s="8" t="s">
        <v>13</v>
      </c>
      <c r="I104" s="9">
        <v>241063875</v>
      </c>
      <c r="J104" s="10">
        <v>804600000</v>
      </c>
      <c r="L104" s="10">
        <v>250000000</v>
      </c>
      <c r="M104" s="13"/>
      <c r="N104" s="13"/>
      <c r="O104" s="13"/>
      <c r="P104" s="13"/>
    </row>
    <row r="105" spans="1:16" ht="31" x14ac:dyDescent="0.35">
      <c r="A105" s="5">
        <v>104</v>
      </c>
      <c r="B105" s="6" t="s">
        <v>114</v>
      </c>
      <c r="C105" s="7">
        <v>10</v>
      </c>
      <c r="D105" s="7" t="str">
        <f>VLOOKUP(C105,'5-Genre Codes'!$A$1:$B$11,2,FALSE)</f>
        <v>Contemporary Fiction</v>
      </c>
      <c r="E105" s="8">
        <v>2012</v>
      </c>
      <c r="F105" s="6">
        <v>19060</v>
      </c>
      <c r="G105" s="6" t="str">
        <f>VLOOKUP(F105,'4-Actor Codes'!$A$1:$B$622,2,FALSE)</f>
        <v>Vin Diesel</v>
      </c>
      <c r="H105" s="8" t="s">
        <v>13</v>
      </c>
      <c r="I105" s="9">
        <v>238679850</v>
      </c>
      <c r="J105" s="10">
        <v>551272961</v>
      </c>
      <c r="L105" s="10">
        <v>160000000</v>
      </c>
      <c r="M105" s="13"/>
      <c r="N105" s="13"/>
      <c r="O105" s="13"/>
      <c r="P105" s="13"/>
    </row>
    <row r="106" spans="1:16" x14ac:dyDescent="0.35">
      <c r="A106" s="5">
        <v>105</v>
      </c>
      <c r="B106" s="6" t="s">
        <v>115</v>
      </c>
      <c r="C106" s="7">
        <v>60</v>
      </c>
      <c r="D106" s="7" t="str">
        <f>VLOOKUP(C106,'5-Genre Codes'!$A$1:$B$11,2,FALSE)</f>
        <v>Kids Fiction</v>
      </c>
      <c r="E106" s="8">
        <v>2010</v>
      </c>
      <c r="F106" s="6">
        <v>15055</v>
      </c>
      <c r="G106" s="6" t="str">
        <f>VLOOKUP(F106,'4-Actor Codes'!$A$1:$B$622,2,FALSE)</f>
        <v>Lake Bell</v>
      </c>
      <c r="H106" s="8" t="s">
        <v>13</v>
      </c>
      <c r="I106" s="9">
        <v>238395990</v>
      </c>
      <c r="J106" s="10">
        <v>517507886</v>
      </c>
      <c r="L106" s="10">
        <v>165000000</v>
      </c>
      <c r="M106" s="13"/>
      <c r="N106" s="13"/>
      <c r="O106" s="13"/>
      <c r="P106" s="13"/>
    </row>
    <row r="107" spans="1:16" ht="31" x14ac:dyDescent="0.35">
      <c r="A107" s="5">
        <v>106</v>
      </c>
      <c r="B107" s="6" t="s">
        <v>116</v>
      </c>
      <c r="C107" s="7">
        <v>60</v>
      </c>
      <c r="D107" s="7" t="str">
        <f>VLOOKUP(C107,'5-Genre Codes'!$A$1:$B$11,2,FALSE)</f>
        <v>Kids Fiction</v>
      </c>
      <c r="E107" s="8">
        <v>2012</v>
      </c>
      <c r="F107" s="6">
        <v>12535</v>
      </c>
      <c r="G107" s="6" t="str">
        <f>VLOOKUP(F107,'4-Actor Codes'!$A$1:$B$622,2,FALSE)</f>
        <v>Emma Thompson</v>
      </c>
      <c r="H107" s="8" t="s">
        <v>10</v>
      </c>
      <c r="I107" s="9">
        <v>237282182</v>
      </c>
      <c r="J107" s="10">
        <v>317324350</v>
      </c>
      <c r="L107" s="10">
        <v>185000000</v>
      </c>
      <c r="M107" s="13"/>
      <c r="N107" s="13"/>
      <c r="O107" s="13"/>
      <c r="P107" s="13"/>
    </row>
    <row r="108" spans="1:16" ht="31" x14ac:dyDescent="0.35">
      <c r="A108" s="5">
        <v>107</v>
      </c>
      <c r="B108" s="6" t="s">
        <v>117</v>
      </c>
      <c r="C108" s="7">
        <v>40</v>
      </c>
      <c r="D108" s="7" t="str">
        <f>VLOOKUP(C108,'5-Genre Codes'!$A$1:$B$11,2,FALSE)</f>
        <v>Fantasy</v>
      </c>
      <c r="E108" s="8">
        <v>2011</v>
      </c>
      <c r="F108" s="6">
        <v>13615</v>
      </c>
      <c r="G108" s="6" t="str">
        <f>VLOOKUP(F108,'4-Actor Codes'!$A$1:$B$622,2,FALSE)</f>
        <v>James Franco</v>
      </c>
      <c r="H108" s="8" t="s">
        <v>10</v>
      </c>
      <c r="I108" s="9">
        <v>234770996</v>
      </c>
      <c r="J108" s="10">
        <v>254800000</v>
      </c>
      <c r="L108" s="10">
        <v>200000000</v>
      </c>
      <c r="M108" s="13"/>
      <c r="N108" s="13"/>
      <c r="O108" s="13"/>
      <c r="P108" s="13"/>
    </row>
    <row r="109" spans="1:16" ht="31" x14ac:dyDescent="0.35">
      <c r="A109" s="5">
        <v>108</v>
      </c>
      <c r="B109" s="6" t="s">
        <v>118</v>
      </c>
      <c r="C109" s="7">
        <v>90</v>
      </c>
      <c r="D109" s="7" t="str">
        <f>VLOOKUP(C109,'5-Genre Codes'!$A$1:$B$11,2,FALSE)</f>
        <v>Super Hero</v>
      </c>
      <c r="E109" s="8">
        <v>2006</v>
      </c>
      <c r="F109" s="6">
        <v>17995</v>
      </c>
      <c r="G109" s="6" t="str">
        <f>VLOOKUP(F109,'4-Actor Codes'!$A$1:$B$622,2,FALSE)</f>
        <v>Shawn Ashmore</v>
      </c>
      <c r="H109" s="8" t="s">
        <v>13</v>
      </c>
      <c r="I109" s="9">
        <v>234362462</v>
      </c>
      <c r="J109" s="10">
        <v>284000000</v>
      </c>
      <c r="L109" s="10">
        <v>165000000</v>
      </c>
      <c r="M109" s="13"/>
      <c r="N109" s="13"/>
      <c r="O109" s="13"/>
      <c r="P109" s="13"/>
    </row>
    <row r="110" spans="1:16" x14ac:dyDescent="0.35">
      <c r="A110" s="5">
        <v>109</v>
      </c>
      <c r="B110" s="6" t="s">
        <v>119</v>
      </c>
      <c r="C110" s="7">
        <v>80</v>
      </c>
      <c r="D110" s="7" t="str">
        <f>VLOOKUP(C110,'5-Genre Codes'!$A$1:$B$11,2,FALSE)</f>
        <v>Science Fiction</v>
      </c>
      <c r="E110" s="8">
        <v>2005</v>
      </c>
      <c r="F110" s="6">
        <v>18745</v>
      </c>
      <c r="G110" s="6" t="str">
        <f>VLOOKUP(F110,'4-Actor Codes'!$A$1:$B$622,2,FALSE)</f>
        <v>Tom Cruise</v>
      </c>
      <c r="H110" s="8" t="s">
        <v>10</v>
      </c>
      <c r="I110" s="9">
        <v>234280354</v>
      </c>
      <c r="J110" s="10">
        <v>372556181</v>
      </c>
      <c r="L110" s="10">
        <v>132000000</v>
      </c>
      <c r="M110" s="13"/>
      <c r="N110" s="13"/>
      <c r="O110" s="13"/>
      <c r="P110" s="13"/>
    </row>
    <row r="111" spans="1:16" ht="31" x14ac:dyDescent="0.35">
      <c r="A111" s="5">
        <v>110</v>
      </c>
      <c r="B111" s="6" t="s">
        <v>120</v>
      </c>
      <c r="C111" s="7">
        <v>80</v>
      </c>
      <c r="D111" s="7" t="str">
        <f>VLOOKUP(C111,'5-Genre Codes'!$A$1:$B$11,2,FALSE)</f>
        <v>Science Fiction</v>
      </c>
      <c r="E111" s="8">
        <v>2014</v>
      </c>
      <c r="F111" s="6">
        <v>13270</v>
      </c>
      <c r="G111" s="6" t="str">
        <f>VLOOKUP(F111,'4-Actor Codes'!$A$1:$B$622,2,FALSE)</f>
        <v>Hugh Jackman</v>
      </c>
      <c r="H111" s="8" t="s">
        <v>13</v>
      </c>
      <c r="I111" s="9">
        <v>233921534</v>
      </c>
      <c r="J111" s="10">
        <v>284000000</v>
      </c>
      <c r="L111" s="10">
        <v>165000000</v>
      </c>
      <c r="M111" s="13"/>
      <c r="N111" s="13"/>
      <c r="O111" s="13"/>
      <c r="P111" s="13"/>
    </row>
    <row r="112" spans="1:16" ht="31" x14ac:dyDescent="0.35">
      <c r="A112" s="5">
        <v>111</v>
      </c>
      <c r="B112" s="6" t="s">
        <v>121</v>
      </c>
      <c r="C112" s="7">
        <v>10</v>
      </c>
      <c r="D112" s="7" t="str">
        <f>VLOOKUP(C112,'5-Genre Codes'!$A$1:$B$11,2,FALSE)</f>
        <v>Contemporary Fiction</v>
      </c>
      <c r="E112" s="8">
        <v>2000</v>
      </c>
      <c r="F112" s="6">
        <v>13960</v>
      </c>
      <c r="G112" s="6" t="str">
        <f>VLOOKUP(F112,'4-Actor Codes'!$A$1:$B$622,2,FALSE)</f>
        <v>Jenifer Lewis</v>
      </c>
      <c r="H112" s="8" t="s">
        <v>10</v>
      </c>
      <c r="I112" s="9">
        <v>233632142</v>
      </c>
      <c r="J112" s="10">
        <v>193598374</v>
      </c>
      <c r="L112" s="10">
        <v>85000000</v>
      </c>
      <c r="M112" s="13"/>
      <c r="N112" s="13"/>
      <c r="O112" s="13"/>
      <c r="P112" s="13"/>
    </row>
    <row r="113" spans="1:16" ht="31" x14ac:dyDescent="0.35">
      <c r="A113" s="5">
        <v>112</v>
      </c>
      <c r="B113" s="6" t="s">
        <v>122</v>
      </c>
      <c r="C113" s="7">
        <v>10</v>
      </c>
      <c r="D113" s="7" t="str">
        <f>VLOOKUP(C113,'5-Genre Codes'!$A$1:$B$11,2,FALSE)</f>
        <v>Contemporary Fiction</v>
      </c>
      <c r="E113" s="8">
        <v>1984</v>
      </c>
      <c r="F113" s="6">
        <v>15970</v>
      </c>
      <c r="G113" s="6" t="str">
        <f>VLOOKUP(F113,'4-Actor Codes'!$A$1:$B$622,2,FALSE)</f>
        <v>Michael Champion</v>
      </c>
      <c r="H113" s="8" t="s">
        <v>10</v>
      </c>
      <c r="I113" s="9">
        <v>229909722</v>
      </c>
      <c r="J113" s="10">
        <v>81539522</v>
      </c>
      <c r="L113" s="10">
        <v>15000000</v>
      </c>
      <c r="M113" s="13"/>
      <c r="N113" s="13"/>
      <c r="O113" s="13"/>
      <c r="P113" s="13"/>
    </row>
    <row r="114" spans="1:16" ht="31" x14ac:dyDescent="0.35">
      <c r="A114" s="5">
        <v>113</v>
      </c>
      <c r="B114" s="6" t="s">
        <v>123</v>
      </c>
      <c r="C114" s="7">
        <v>80</v>
      </c>
      <c r="D114" s="7" t="str">
        <f>VLOOKUP(C114,'5-Genre Codes'!$A$1:$B$11,2,FALSE)</f>
        <v>Science Fiction</v>
      </c>
      <c r="E114" s="8">
        <v>1997</v>
      </c>
      <c r="F114" s="6">
        <v>13930</v>
      </c>
      <c r="G114" s="6" t="str">
        <f>VLOOKUP(F114,'4-Actor Codes'!$A$1:$B$622,2,FALSE)</f>
        <v>Jeff Goldblum</v>
      </c>
      <c r="H114" s="8" t="s">
        <v>10</v>
      </c>
      <c r="I114" s="9">
        <v>229074524</v>
      </c>
      <c r="J114" s="10">
        <v>389552320</v>
      </c>
      <c r="L114" s="10">
        <v>75000000</v>
      </c>
      <c r="M114" s="13"/>
      <c r="N114" s="13"/>
      <c r="O114" s="13"/>
      <c r="P114" s="13"/>
    </row>
    <row r="115" spans="1:16" x14ac:dyDescent="0.35">
      <c r="A115" s="5">
        <v>114</v>
      </c>
      <c r="B115" s="6" t="s">
        <v>124</v>
      </c>
      <c r="C115" s="7">
        <v>80</v>
      </c>
      <c r="D115" s="7" t="str">
        <f>VLOOKUP(C115,'5-Genre Codes'!$A$1:$B$11,2,FALSE)</f>
        <v>Science Fiction</v>
      </c>
      <c r="E115" s="8">
        <v>2012</v>
      </c>
      <c r="F115" s="6">
        <v>11380</v>
      </c>
      <c r="G115" s="6" t="str">
        <f>VLOOKUP(F115,'4-Actor Codes'!$A$1:$B$622,2,FALSE)</f>
        <v>Chris Pine</v>
      </c>
      <c r="H115" s="8" t="s">
        <v>13</v>
      </c>
      <c r="I115" s="9">
        <v>228778661</v>
      </c>
      <c r="J115" s="10">
        <v>238200000</v>
      </c>
      <c r="L115" s="10">
        <v>190000000</v>
      </c>
      <c r="M115" s="13"/>
      <c r="N115" s="13"/>
      <c r="O115" s="13"/>
      <c r="P115" s="13"/>
    </row>
    <row r="116" spans="1:16" x14ac:dyDescent="0.35">
      <c r="A116" s="5">
        <v>115</v>
      </c>
      <c r="B116" s="6" t="s">
        <v>125</v>
      </c>
      <c r="C116" s="7">
        <v>80</v>
      </c>
      <c r="D116" s="7" t="str">
        <f>VLOOKUP(C116,'5-Genre Codes'!$A$1:$B$11,2,FALSE)</f>
        <v>Science Fiction</v>
      </c>
      <c r="E116" s="8">
        <v>2002</v>
      </c>
      <c r="F116" s="6">
        <v>15865</v>
      </c>
      <c r="G116" s="6" t="str">
        <f>VLOOKUP(F116,'4-Actor Codes'!$A$1:$B$622,2,FALSE)</f>
        <v>Mel Gibson</v>
      </c>
      <c r="H116" s="8" t="s">
        <v>10</v>
      </c>
      <c r="I116" s="9">
        <v>227965690</v>
      </c>
      <c r="J116" s="10">
        <v>180300000</v>
      </c>
      <c r="L116" s="10">
        <v>70702619</v>
      </c>
      <c r="M116" s="13"/>
      <c r="N116" s="13"/>
      <c r="O116" s="13"/>
      <c r="P116" s="13"/>
    </row>
    <row r="117" spans="1:16" x14ac:dyDescent="0.35">
      <c r="A117" s="5">
        <v>116</v>
      </c>
      <c r="B117" s="6" t="s">
        <v>126</v>
      </c>
      <c r="C117" s="7">
        <v>90</v>
      </c>
      <c r="D117" s="7" t="str">
        <f>VLOOKUP(C117,'5-Genre Codes'!$A$1:$B$11,2,FALSE)</f>
        <v>Super Hero</v>
      </c>
      <c r="E117" s="8">
        <v>2008</v>
      </c>
      <c r="F117" s="6">
        <v>13525</v>
      </c>
      <c r="G117" s="6" t="str">
        <f>VLOOKUP(F117,'4-Actor Codes'!$A$1:$B$622,2,FALSE)</f>
        <v>Jae Head</v>
      </c>
      <c r="H117" s="8" t="s">
        <v>10</v>
      </c>
      <c r="I117" s="9">
        <v>227946274</v>
      </c>
      <c r="J117" s="10">
        <v>396287998</v>
      </c>
      <c r="L117" s="10">
        <v>150000000</v>
      </c>
      <c r="M117" s="13"/>
      <c r="N117" s="13"/>
      <c r="O117" s="13"/>
      <c r="P117" s="13"/>
    </row>
    <row r="118" spans="1:16" ht="31" x14ac:dyDescent="0.35">
      <c r="A118" s="5">
        <v>117</v>
      </c>
      <c r="B118" s="6" t="s">
        <v>127</v>
      </c>
      <c r="C118" s="7">
        <v>10</v>
      </c>
      <c r="D118" s="7" t="str">
        <f>VLOOKUP(C118,'5-Genre Codes'!$A$1:$B$11,2,FALSE)</f>
        <v>Contemporary Fiction</v>
      </c>
      <c r="E118" s="8">
        <v>2007</v>
      </c>
      <c r="F118" s="6">
        <v>17860</v>
      </c>
      <c r="G118" s="6" t="str">
        <f>VLOOKUP(F118,'4-Actor Codes'!$A$1:$B$622,2,FALSE)</f>
        <v>Scott Glenn</v>
      </c>
      <c r="H118" s="8" t="s">
        <v>13</v>
      </c>
      <c r="I118" s="9">
        <v>227471070</v>
      </c>
      <c r="J118" s="10">
        <v>214690492</v>
      </c>
      <c r="L118" s="10">
        <v>130000000</v>
      </c>
      <c r="M118" s="13"/>
      <c r="N118" s="13"/>
      <c r="O118" s="13"/>
      <c r="P118" s="13"/>
    </row>
    <row r="119" spans="1:16" ht="31" x14ac:dyDescent="0.35">
      <c r="A119" s="5">
        <v>118</v>
      </c>
      <c r="B119" s="6" t="s">
        <v>128</v>
      </c>
      <c r="C119" s="7">
        <v>10</v>
      </c>
      <c r="D119" s="7" t="str">
        <f>VLOOKUP(C119,'5-Genre Codes'!$A$1:$B$11,2,FALSE)</f>
        <v>Contemporary Fiction</v>
      </c>
      <c r="E119" s="8">
        <v>2001</v>
      </c>
      <c r="F119" s="6">
        <v>13495</v>
      </c>
      <c r="G119" s="6" t="str">
        <f>VLOOKUP(F119,'4-Actor Codes'!$A$1:$B$622,2,FALSE)</f>
        <v>Jackie Chan</v>
      </c>
      <c r="H119" s="8" t="s">
        <v>13</v>
      </c>
      <c r="I119" s="9">
        <v>226164286</v>
      </c>
      <c r="J119" s="10">
        <v>121261546</v>
      </c>
      <c r="L119" s="10">
        <v>90000000</v>
      </c>
      <c r="M119" s="13"/>
      <c r="N119" s="13"/>
      <c r="O119" s="13"/>
      <c r="P119" s="13"/>
    </row>
    <row r="120" spans="1:16" x14ac:dyDescent="0.35">
      <c r="A120" s="5">
        <v>119</v>
      </c>
      <c r="B120" s="6" t="s">
        <v>129</v>
      </c>
      <c r="C120" s="7">
        <v>80</v>
      </c>
      <c r="D120" s="7" t="str">
        <f>VLOOKUP(C120,'5-Genre Codes'!$A$1:$B$11,2,FALSE)</f>
        <v>Science Fiction</v>
      </c>
      <c r="E120" s="8">
        <v>2008</v>
      </c>
      <c r="F120" s="6">
        <v>12790</v>
      </c>
      <c r="G120" s="6" t="str">
        <f>VLOOKUP(F120,'4-Actor Codes'!$A$1:$B$622,2,FALSE)</f>
        <v>Fred Willard</v>
      </c>
      <c r="H120" s="8" t="s">
        <v>10</v>
      </c>
      <c r="I120" s="9">
        <v>223808164</v>
      </c>
      <c r="J120" s="10">
        <v>308782830</v>
      </c>
      <c r="L120" s="10">
        <v>180000000</v>
      </c>
      <c r="M120" s="13"/>
      <c r="N120" s="13"/>
      <c r="O120" s="13"/>
      <c r="P120" s="13"/>
    </row>
    <row r="121" spans="1:16" x14ac:dyDescent="0.35">
      <c r="A121" s="5">
        <v>120</v>
      </c>
      <c r="B121" s="6" t="s">
        <v>130</v>
      </c>
      <c r="C121" s="7">
        <v>80</v>
      </c>
      <c r="D121" s="7" t="str">
        <f>VLOOKUP(C121,'5-Genre Codes'!$A$1:$B$11,2,FALSE)</f>
        <v>Science Fiction</v>
      </c>
      <c r="E121" s="8">
        <v>2014</v>
      </c>
      <c r="F121" s="6">
        <v>17845</v>
      </c>
      <c r="G121" s="6" t="str">
        <f>VLOOKUP(F121,'4-Actor Codes'!$A$1:$B$622,2,FALSE)</f>
        <v>Scott Adsit</v>
      </c>
      <c r="H121" s="8" t="s">
        <v>10</v>
      </c>
      <c r="I121" s="9">
        <v>222527828</v>
      </c>
      <c r="J121" s="10">
        <v>429600000</v>
      </c>
      <c r="L121" s="10">
        <v>165000000</v>
      </c>
      <c r="M121" s="13"/>
      <c r="N121" s="13"/>
      <c r="O121" s="13"/>
      <c r="P121" s="13"/>
    </row>
    <row r="122" spans="1:16" ht="31" x14ac:dyDescent="0.35">
      <c r="A122" s="5">
        <v>121</v>
      </c>
      <c r="B122" s="6" t="s">
        <v>131</v>
      </c>
      <c r="C122" s="7">
        <v>10</v>
      </c>
      <c r="D122" s="7" t="str">
        <f>VLOOKUP(C122,'5-Genre Codes'!$A$1:$B$11,2,FALSE)</f>
        <v>Contemporary Fiction</v>
      </c>
      <c r="E122" s="8">
        <v>2007</v>
      </c>
      <c r="F122" s="6">
        <v>16465</v>
      </c>
      <c r="G122" s="6" t="str">
        <f>VLOOKUP(F122,'4-Actor Codes'!$A$1:$B$622,2,FALSE)</f>
        <v>Nicolas Cage</v>
      </c>
      <c r="H122" s="8" t="s">
        <v>13</v>
      </c>
      <c r="I122" s="9">
        <v>219961501</v>
      </c>
      <c r="J122" s="10">
        <v>237364303</v>
      </c>
      <c r="L122" s="10">
        <v>0</v>
      </c>
      <c r="M122" s="13"/>
      <c r="N122" s="13"/>
      <c r="O122" s="13"/>
      <c r="P122" s="13"/>
    </row>
    <row r="123" spans="1:16" x14ac:dyDescent="0.35">
      <c r="A123" s="5">
        <v>122</v>
      </c>
      <c r="B123" s="6" t="s">
        <v>132</v>
      </c>
      <c r="C123" s="7">
        <v>60</v>
      </c>
      <c r="D123" s="7" t="str">
        <f>VLOOKUP(C123,'5-Genre Codes'!$A$1:$B$11,2,FALSE)</f>
        <v>Kids Fiction</v>
      </c>
      <c r="E123" s="8">
        <v>2009</v>
      </c>
      <c r="F123" s="6">
        <v>19285</v>
      </c>
      <c r="G123" s="6" t="str">
        <f>VLOOKUP(F123,'4-Actor Codes'!$A$1:$B$622,2,FALSE)</f>
        <v>Zachary Levi</v>
      </c>
      <c r="H123" s="8" t="s">
        <v>13</v>
      </c>
      <c r="I123" s="9">
        <v>219614612</v>
      </c>
      <c r="J123" s="10">
        <v>223868601</v>
      </c>
      <c r="L123" s="10">
        <v>70000000</v>
      </c>
      <c r="M123" s="13"/>
      <c r="N123" s="13"/>
      <c r="O123" s="13"/>
      <c r="P123" s="13"/>
    </row>
    <row r="124" spans="1:16" x14ac:dyDescent="0.35">
      <c r="A124" s="5">
        <v>123</v>
      </c>
      <c r="B124" s="6" t="s">
        <v>133</v>
      </c>
      <c r="C124" s="7">
        <v>40</v>
      </c>
      <c r="D124" s="7" t="str">
        <f>VLOOKUP(C124,'5-Genre Codes'!$A$1:$B$11,2,FALSE)</f>
        <v>Fantasy</v>
      </c>
      <c r="E124" s="8">
        <v>1991</v>
      </c>
      <c r="F124" s="6">
        <v>10780</v>
      </c>
      <c r="G124" s="6" t="str">
        <f>VLOOKUP(F124,'4-Actor Codes'!$A$1:$B$622,2,FALSE)</f>
        <v>Bill Farmer</v>
      </c>
      <c r="H124" s="8" t="s">
        <v>10</v>
      </c>
      <c r="I124" s="9">
        <v>218951625</v>
      </c>
      <c r="J124" s="10">
        <v>232470000</v>
      </c>
      <c r="L124" s="10">
        <v>20000000</v>
      </c>
      <c r="M124" s="13"/>
      <c r="N124" s="13"/>
      <c r="O124" s="13"/>
      <c r="P124" s="13"/>
    </row>
    <row r="125" spans="1:16" ht="31" x14ac:dyDescent="0.35">
      <c r="A125" s="5">
        <v>124</v>
      </c>
      <c r="B125" s="6" t="s">
        <v>134</v>
      </c>
      <c r="C125" s="7">
        <v>10</v>
      </c>
      <c r="D125" s="7" t="str">
        <f>VLOOKUP(C125,'5-Genre Codes'!$A$1:$B$11,2,FALSE)</f>
        <v>Contemporary Fiction</v>
      </c>
      <c r="E125" s="8">
        <v>1993</v>
      </c>
      <c r="F125" s="6">
        <v>17425</v>
      </c>
      <c r="G125" s="6" t="str">
        <f>VLOOKUP(F125,'4-Actor Codes'!$A$1:$B$622,2,FALSE)</f>
        <v>Robin Williams</v>
      </c>
      <c r="H125" s="8" t="s">
        <v>10</v>
      </c>
      <c r="I125" s="9">
        <v>218692701</v>
      </c>
      <c r="J125" s="10">
        <v>222090952</v>
      </c>
      <c r="L125" s="10">
        <v>25000000</v>
      </c>
      <c r="M125" s="13"/>
      <c r="N125" s="13"/>
      <c r="O125" s="13"/>
      <c r="P125" s="13"/>
    </row>
    <row r="126" spans="1:16" ht="31" x14ac:dyDescent="0.35">
      <c r="A126" s="5">
        <v>125</v>
      </c>
      <c r="B126" s="6" t="s">
        <v>135</v>
      </c>
      <c r="C126" s="7">
        <v>10</v>
      </c>
      <c r="D126" s="7" t="str">
        <f>VLOOKUP(C126,'5-Genre Codes'!$A$1:$B$11,2,FALSE)</f>
        <v>Contemporary Fiction</v>
      </c>
      <c r="E126" s="8">
        <v>2011</v>
      </c>
      <c r="F126" s="6">
        <v>15565</v>
      </c>
      <c r="G126" s="6" t="str">
        <f>VLOOKUP(F126,'4-Actor Codes'!$A$1:$B$622,2,FALSE)</f>
        <v>Mark Wahlberg</v>
      </c>
      <c r="H126" s="8" t="s">
        <v>10</v>
      </c>
      <c r="I126" s="9">
        <v>218665740</v>
      </c>
      <c r="J126" s="10">
        <v>337350887</v>
      </c>
      <c r="L126" s="10">
        <v>50000000</v>
      </c>
      <c r="M126" s="13"/>
      <c r="N126" s="13"/>
      <c r="O126" s="13"/>
      <c r="P126" s="13"/>
    </row>
    <row r="127" spans="1:16" ht="31" x14ac:dyDescent="0.35">
      <c r="A127" s="5">
        <v>126</v>
      </c>
      <c r="B127" s="6" t="s">
        <v>136</v>
      </c>
      <c r="C127" s="7">
        <v>40</v>
      </c>
      <c r="D127" s="7" t="str">
        <f>VLOOKUP(C127,'5-Genre Codes'!$A$1:$B$11,2,FALSE)</f>
        <v>Fantasy</v>
      </c>
      <c r="E127" s="8">
        <v>2005</v>
      </c>
      <c r="F127" s="6">
        <v>15040</v>
      </c>
      <c r="G127" s="6" t="str">
        <f>VLOOKUP(F127,'4-Actor Codes'!$A$1:$B$622,2,FALSE)</f>
        <v>Kyle Chandler</v>
      </c>
      <c r="H127" s="8" t="s">
        <v>10</v>
      </c>
      <c r="I127" s="9">
        <v>218080025</v>
      </c>
      <c r="J127" s="10">
        <v>332437332</v>
      </c>
      <c r="L127" s="10">
        <v>207000000</v>
      </c>
      <c r="M127" s="13"/>
      <c r="N127" s="13"/>
      <c r="O127" s="13"/>
      <c r="P127" s="13"/>
    </row>
    <row r="128" spans="1:16" x14ac:dyDescent="0.35">
      <c r="A128" s="5">
        <v>127</v>
      </c>
      <c r="B128" s="6" t="s">
        <v>137</v>
      </c>
      <c r="C128" s="7">
        <v>40</v>
      </c>
      <c r="D128" s="7" t="str">
        <f>VLOOKUP(C128,'5-Genre Codes'!$A$1:$B$11,2,FALSE)</f>
        <v>Fantasy</v>
      </c>
      <c r="E128" s="8">
        <v>2010</v>
      </c>
      <c r="F128" s="6">
        <v>15025</v>
      </c>
      <c r="G128" s="6" t="str">
        <f>VLOOKUP(F128,'4-Actor Codes'!$A$1:$B$622,2,FALSE)</f>
        <v>Kristen Wiig</v>
      </c>
      <c r="H128" s="8" t="s">
        <v>10</v>
      </c>
      <c r="I128" s="9">
        <v>217581231</v>
      </c>
      <c r="J128" s="10">
        <v>277289760</v>
      </c>
      <c r="L128" s="10">
        <v>165000000</v>
      </c>
      <c r="M128" s="13"/>
      <c r="N128" s="13"/>
      <c r="O128" s="13"/>
      <c r="P128" s="13"/>
    </row>
    <row r="129" spans="1:16" ht="31" x14ac:dyDescent="0.35">
      <c r="A129" s="5">
        <v>128</v>
      </c>
      <c r="B129" s="6" t="s">
        <v>138</v>
      </c>
      <c r="C129" s="7">
        <v>10</v>
      </c>
      <c r="D129" s="7" t="str">
        <f>VLOOKUP(C129,'5-Genre Codes'!$A$1:$B$11,2,FALSE)</f>
        <v>Contemporary Fiction</v>
      </c>
      <c r="E129" s="8">
        <v>2006</v>
      </c>
      <c r="F129" s="6">
        <v>14605</v>
      </c>
      <c r="G129" s="6" t="str">
        <f>VLOOKUP(F129,'4-Actor Codes'!$A$1:$B$622,2,FALSE)</f>
        <v>Jurgen Prochnow</v>
      </c>
      <c r="H129" s="8" t="s">
        <v>10</v>
      </c>
      <c r="I129" s="9">
        <v>217536138</v>
      </c>
      <c r="J129" s="10">
        <v>550284321</v>
      </c>
      <c r="L129" s="10">
        <v>125000000</v>
      </c>
      <c r="M129" s="13"/>
      <c r="N129" s="13"/>
      <c r="O129" s="13"/>
      <c r="P129" s="13"/>
    </row>
    <row r="130" spans="1:16" x14ac:dyDescent="0.35">
      <c r="A130" s="5">
        <v>129</v>
      </c>
      <c r="B130" s="6" t="s">
        <v>139</v>
      </c>
      <c r="C130" s="7">
        <v>60</v>
      </c>
      <c r="D130" s="7" t="str">
        <f>VLOOKUP(C130,'5-Genre Codes'!$A$1:$B$11,2,FALSE)</f>
        <v>Kids Fiction</v>
      </c>
      <c r="E130" s="8">
        <v>2007</v>
      </c>
      <c r="F130" s="6">
        <v>13765</v>
      </c>
      <c r="G130" s="6" t="str">
        <f>VLOOKUP(F130,'4-Actor Codes'!$A$1:$B$622,2,FALSE)</f>
        <v>Jane Lynch</v>
      </c>
      <c r="H130" s="8" t="s">
        <v>10</v>
      </c>
      <c r="I130" s="9">
        <v>217326974</v>
      </c>
      <c r="J130" s="10">
        <v>145278059</v>
      </c>
      <c r="L130" s="10">
        <v>55000000</v>
      </c>
      <c r="M130" s="13"/>
      <c r="N130" s="13"/>
      <c r="O130" s="13"/>
      <c r="P130" s="13"/>
    </row>
    <row r="131" spans="1:16" x14ac:dyDescent="0.35">
      <c r="A131" s="5">
        <v>130</v>
      </c>
      <c r="B131" s="6" t="s">
        <v>140</v>
      </c>
      <c r="C131" s="7">
        <v>60</v>
      </c>
      <c r="D131" s="7" t="str">
        <f>VLOOKUP(C131,'5-Genre Codes'!$A$1:$B$11,2,FALSE)</f>
        <v>Kids Fiction</v>
      </c>
      <c r="E131" s="8">
        <v>2012</v>
      </c>
      <c r="F131" s="6">
        <v>12550</v>
      </c>
      <c r="G131" s="6" t="str">
        <f>VLOOKUP(F131,'4-Actor Codes'!$A$1:$B$622,2,FALSE)</f>
        <v>Eric Darnell</v>
      </c>
      <c r="H131" s="8" t="s">
        <v>13</v>
      </c>
      <c r="I131" s="9">
        <v>216391482</v>
      </c>
      <c r="J131" s="10">
        <v>530529789</v>
      </c>
      <c r="L131" s="10">
        <v>145000000</v>
      </c>
      <c r="M131" s="13"/>
      <c r="N131" s="13"/>
      <c r="O131" s="13"/>
      <c r="P131" s="13"/>
    </row>
    <row r="132" spans="1:16" x14ac:dyDescent="0.35">
      <c r="A132" s="5">
        <v>131</v>
      </c>
      <c r="B132" s="6" t="s">
        <v>141</v>
      </c>
      <c r="C132" s="7">
        <v>50</v>
      </c>
      <c r="D132" s="7" t="str">
        <f>VLOOKUP(C132,'5-Genre Codes'!$A$1:$B$11,2,FALSE)</f>
        <v>Historical Fiction</v>
      </c>
      <c r="E132" s="8">
        <v>1998</v>
      </c>
      <c r="F132" s="6">
        <v>18760</v>
      </c>
      <c r="G132" s="6" t="str">
        <f>VLOOKUP(F132,'4-Actor Codes'!$A$1:$B$622,2,FALSE)</f>
        <v>Tom Hanks</v>
      </c>
      <c r="H132" s="8" t="s">
        <v>10</v>
      </c>
      <c r="I132" s="9">
        <v>216119491</v>
      </c>
      <c r="J132" s="10">
        <v>268700000</v>
      </c>
      <c r="L132" s="10">
        <v>65000000</v>
      </c>
      <c r="M132" s="13"/>
      <c r="N132" s="13"/>
      <c r="O132" s="13"/>
      <c r="P132" s="13"/>
    </row>
    <row r="133" spans="1:16" x14ac:dyDescent="0.35">
      <c r="A133" s="5">
        <v>132</v>
      </c>
      <c r="B133" s="6" t="s">
        <v>142</v>
      </c>
      <c r="C133" s="7">
        <v>60</v>
      </c>
      <c r="D133" s="7" t="str">
        <f>VLOOKUP(C133,'5-Genre Codes'!$A$1:$B$11,2,FALSE)</f>
        <v>Kids Fiction</v>
      </c>
      <c r="E133" s="8">
        <v>2008</v>
      </c>
      <c r="F133" s="6">
        <v>11800</v>
      </c>
      <c r="G133" s="6" t="str">
        <f>VLOOKUP(F133,'4-Actor Codes'!$A$1:$B$622,2,FALSE)</f>
        <v>Dan Fogler</v>
      </c>
      <c r="H133" s="8" t="s">
        <v>10</v>
      </c>
      <c r="I133" s="9">
        <v>215434591</v>
      </c>
      <c r="J133" s="10">
        <v>416475940</v>
      </c>
      <c r="L133" s="10">
        <v>130000000</v>
      </c>
      <c r="M133" s="13"/>
      <c r="N133" s="13"/>
      <c r="O133" s="13"/>
      <c r="P133" s="13"/>
    </row>
    <row r="134" spans="1:16" ht="31" x14ac:dyDescent="0.35">
      <c r="A134" s="5">
        <v>133</v>
      </c>
      <c r="B134" s="6" t="s">
        <v>143</v>
      </c>
      <c r="C134" s="7">
        <v>10</v>
      </c>
      <c r="D134" s="7" t="str">
        <f>VLOOKUP(C134,'5-Genre Codes'!$A$1:$B$11,2,FALSE)</f>
        <v>Contemporary Fiction</v>
      </c>
      <c r="E134" s="8">
        <v>2000</v>
      </c>
      <c r="F134" s="6">
        <v>18745</v>
      </c>
      <c r="G134" s="6" t="str">
        <f>VLOOKUP(F134,'4-Actor Codes'!$A$1:$B$622,2,FALSE)</f>
        <v>Tom Cruise</v>
      </c>
      <c r="H134" s="8" t="s">
        <v>13</v>
      </c>
      <c r="I134" s="9">
        <v>215409889</v>
      </c>
      <c r="J134" s="10">
        <v>334178627</v>
      </c>
      <c r="L134" s="10">
        <v>120000000</v>
      </c>
      <c r="M134" s="13"/>
      <c r="N134" s="13"/>
      <c r="O134" s="13"/>
      <c r="P134" s="13"/>
    </row>
    <row r="135" spans="1:16" ht="31" x14ac:dyDescent="0.35">
      <c r="A135" s="5">
        <v>134</v>
      </c>
      <c r="B135" s="6" t="s">
        <v>144</v>
      </c>
      <c r="C135" s="7">
        <v>90</v>
      </c>
      <c r="D135" s="7" t="str">
        <f>VLOOKUP(C135,'5-Genre Codes'!$A$1:$B$11,2,FALSE)</f>
        <v>Super Hero</v>
      </c>
      <c r="E135" s="8">
        <v>2003</v>
      </c>
      <c r="F135" s="6">
        <v>16660</v>
      </c>
      <c r="G135" s="6" t="str">
        <f>VLOOKUP(F135,'4-Actor Codes'!$A$1:$B$622,2,FALSE)</f>
        <v>Patrick Stewart</v>
      </c>
      <c r="H135" s="8" t="s">
        <v>13</v>
      </c>
      <c r="I135" s="9">
        <v>214949694</v>
      </c>
      <c r="J135" s="10">
        <v>192761855</v>
      </c>
      <c r="L135" s="10">
        <v>125000000</v>
      </c>
      <c r="M135" s="13"/>
      <c r="N135" s="13"/>
      <c r="O135" s="13"/>
      <c r="P135" s="13"/>
    </row>
    <row r="136" spans="1:16" ht="31" x14ac:dyDescent="0.35">
      <c r="A136" s="5">
        <v>135</v>
      </c>
      <c r="B136" s="6" t="s">
        <v>145</v>
      </c>
      <c r="C136" s="7">
        <v>60</v>
      </c>
      <c r="D136" s="7" t="str">
        <f>VLOOKUP(C136,'5-Genre Codes'!$A$1:$B$11,2,FALSE)</f>
        <v>Kids Fiction</v>
      </c>
      <c r="E136" s="8">
        <v>2011</v>
      </c>
      <c r="F136" s="6">
        <v>11875</v>
      </c>
      <c r="G136" s="6" t="str">
        <f>VLOOKUP(F136,'4-Actor Codes'!$A$1:$B$622,2,FALSE)</f>
        <v>Danny De Vito</v>
      </c>
      <c r="H136" s="8" t="s">
        <v>10</v>
      </c>
      <c r="I136" s="9">
        <v>214030500</v>
      </c>
      <c r="J136" s="10">
        <v>136946253</v>
      </c>
      <c r="L136" s="10">
        <v>67500000</v>
      </c>
      <c r="M136" s="13"/>
      <c r="N136" s="13"/>
      <c r="O136" s="13"/>
      <c r="P136" s="13"/>
    </row>
    <row r="137" spans="1:16" ht="31" x14ac:dyDescent="0.35">
      <c r="A137" s="5">
        <v>136</v>
      </c>
      <c r="B137" s="6" t="s">
        <v>146</v>
      </c>
      <c r="C137" s="7">
        <v>10</v>
      </c>
      <c r="D137" s="7" t="str">
        <f>VLOOKUP(C137,'5-Genre Codes'!$A$1:$B$11,2,FALSE)</f>
        <v>Contemporary Fiction</v>
      </c>
      <c r="E137" s="8">
        <v>2002</v>
      </c>
      <c r="F137" s="6">
        <v>12775</v>
      </c>
      <c r="G137" s="6" t="str">
        <f>VLOOKUP(F137,'4-Actor Codes'!$A$1:$B$622,2,FALSE)</f>
        <v>Fred Stoller</v>
      </c>
      <c r="H137" s="8" t="s">
        <v>13</v>
      </c>
      <c r="I137" s="9">
        <v>213117789</v>
      </c>
      <c r="J137" s="10">
        <v>79620837</v>
      </c>
      <c r="L137" s="10">
        <v>63000000</v>
      </c>
      <c r="M137" s="13"/>
      <c r="N137" s="13"/>
      <c r="O137" s="13"/>
      <c r="P137" s="13"/>
    </row>
    <row r="138" spans="1:16" ht="31" x14ac:dyDescent="0.35">
      <c r="A138" s="5">
        <v>137</v>
      </c>
      <c r="B138" s="6" t="s">
        <v>147</v>
      </c>
      <c r="C138" s="7">
        <v>80</v>
      </c>
      <c r="D138" s="7" t="str">
        <f>VLOOKUP(C138,'5-Genre Codes'!$A$1:$B$11,2,FALSE)</f>
        <v>Science Fiction</v>
      </c>
      <c r="E138" s="8">
        <v>1985</v>
      </c>
      <c r="F138" s="6">
        <v>11215</v>
      </c>
      <c r="G138" s="6" t="str">
        <f>VLOOKUP(F138,'4-Actor Codes'!$A$1:$B$622,2,FALSE)</f>
        <v>Casey Siemaszko</v>
      </c>
      <c r="H138" s="8" t="s">
        <v>10</v>
      </c>
      <c r="I138" s="9">
        <v>212259762</v>
      </c>
      <c r="J138" s="10">
        <v>173265100</v>
      </c>
      <c r="L138" s="10">
        <v>19000000</v>
      </c>
      <c r="M138" s="13"/>
      <c r="N138" s="13"/>
      <c r="O138" s="13"/>
      <c r="P138" s="13"/>
    </row>
    <row r="139" spans="1:16" ht="31" x14ac:dyDescent="0.35">
      <c r="A139" s="5">
        <v>138</v>
      </c>
      <c r="B139" s="6" t="s">
        <v>148</v>
      </c>
      <c r="C139" s="7">
        <v>50</v>
      </c>
      <c r="D139" s="7" t="str">
        <f>VLOOKUP(C139,'5-Genre Codes'!$A$1:$B$11,2,FALSE)</f>
        <v>Historical Fiction</v>
      </c>
      <c r="E139" s="8">
        <v>2007</v>
      </c>
      <c r="F139" s="6">
        <v>16885</v>
      </c>
      <c r="G139" s="6" t="str">
        <f>VLOOKUP(F139,'4-Actor Codes'!$A$1:$B$622,2,FALSE)</f>
        <v>Peter Mensah</v>
      </c>
      <c r="H139" s="8" t="s">
        <v>10</v>
      </c>
      <c r="I139" s="9">
        <v>210592590</v>
      </c>
      <c r="J139" s="10">
        <v>243546996</v>
      </c>
      <c r="L139" s="10">
        <v>60000000</v>
      </c>
      <c r="M139" s="13"/>
      <c r="N139" s="13"/>
      <c r="O139" s="13"/>
      <c r="P139" s="13"/>
    </row>
    <row r="140" spans="1:16" ht="31" x14ac:dyDescent="0.35">
      <c r="A140" s="5">
        <v>139</v>
      </c>
      <c r="B140" s="6" t="s">
        <v>149</v>
      </c>
      <c r="C140" s="7">
        <v>10</v>
      </c>
      <c r="D140" s="7" t="str">
        <f>VLOOKUP(C140,'5-Genre Codes'!$A$1:$B$11,2,FALSE)</f>
        <v>Contemporary Fiction</v>
      </c>
      <c r="E140" s="8">
        <v>2011</v>
      </c>
      <c r="F140" s="6">
        <v>19060</v>
      </c>
      <c r="G140" s="6" t="str">
        <f>VLOOKUP(F140,'4-Actor Codes'!$A$1:$B$622,2,FALSE)</f>
        <v>Vin Diesel</v>
      </c>
      <c r="H140" s="8" t="s">
        <v>13</v>
      </c>
      <c r="I140" s="9">
        <v>209837675</v>
      </c>
      <c r="J140" s="10">
        <v>420132129</v>
      </c>
      <c r="L140" s="10">
        <v>125000000</v>
      </c>
      <c r="M140" s="13"/>
      <c r="N140" s="13"/>
      <c r="O140" s="13"/>
      <c r="P140" s="13"/>
    </row>
    <row r="141" spans="1:16" ht="31" x14ac:dyDescent="0.35">
      <c r="A141" s="5">
        <v>140</v>
      </c>
      <c r="B141" s="6" t="s">
        <v>150</v>
      </c>
      <c r="C141" s="7">
        <v>10</v>
      </c>
      <c r="D141" s="7" t="str">
        <f>VLOOKUP(C141,'5-Genre Codes'!$A$1:$B$11,2,FALSE)</f>
        <v>Contemporary Fiction</v>
      </c>
      <c r="E141" s="8">
        <v>2011</v>
      </c>
      <c r="F141" s="6">
        <v>18745</v>
      </c>
      <c r="G141" s="6" t="str">
        <f>VLOOKUP(F141,'4-Actor Codes'!$A$1:$B$622,2,FALSE)</f>
        <v>Tom Cruise</v>
      </c>
      <c r="H141" s="8" t="s">
        <v>13</v>
      </c>
      <c r="I141" s="9">
        <v>209397903</v>
      </c>
      <c r="J141" s="10">
        <v>485315327</v>
      </c>
      <c r="L141" s="10">
        <v>145000000</v>
      </c>
      <c r="M141" s="13"/>
      <c r="N141" s="13"/>
      <c r="O141" s="13"/>
      <c r="P141" s="13"/>
    </row>
    <row r="142" spans="1:16" ht="31" x14ac:dyDescent="0.35">
      <c r="A142" s="5">
        <v>141</v>
      </c>
      <c r="B142" s="6" t="s">
        <v>151</v>
      </c>
      <c r="C142" s="7">
        <v>10</v>
      </c>
      <c r="D142" s="7" t="str">
        <f>VLOOKUP(C142,'5-Genre Codes'!$A$1:$B$11,2,FALSE)</f>
        <v>Contemporary Fiction</v>
      </c>
      <c r="E142" s="8">
        <v>2005</v>
      </c>
      <c r="F142" s="6">
        <v>16630</v>
      </c>
      <c r="G142" s="6" t="str">
        <f>VLOOKUP(F142,'4-Actor Codes'!$A$1:$B$622,2,FALSE)</f>
        <v>Owen Wilson</v>
      </c>
      <c r="H142" s="8" t="s">
        <v>10</v>
      </c>
      <c r="I142" s="9">
        <v>209218368</v>
      </c>
      <c r="J142" s="10">
        <v>74000000</v>
      </c>
      <c r="L142" s="10">
        <v>40000000</v>
      </c>
      <c r="M142" s="13"/>
      <c r="N142" s="13"/>
      <c r="O142" s="13"/>
      <c r="P142" s="13"/>
    </row>
    <row r="143" spans="1:16" ht="31" x14ac:dyDescent="0.35">
      <c r="A143" s="5">
        <v>142</v>
      </c>
      <c r="B143" s="6" t="s">
        <v>152</v>
      </c>
      <c r="C143" s="7">
        <v>50</v>
      </c>
      <c r="D143" s="7" t="str">
        <f>VLOOKUP(C143,'5-Genre Codes'!$A$1:$B$11,2,FALSE)</f>
        <v>Historical Fiction</v>
      </c>
      <c r="E143" s="8">
        <v>2009</v>
      </c>
      <c r="F143" s="6">
        <v>17335</v>
      </c>
      <c r="G143" s="6" t="str">
        <f>VLOOKUP(F143,'4-Actor Codes'!$A$1:$B$622,2,FALSE)</f>
        <v>Robert Downey, Jr.</v>
      </c>
      <c r="H143" s="8" t="s">
        <v>10</v>
      </c>
      <c r="I143" s="9">
        <v>209028679</v>
      </c>
      <c r="J143" s="10">
        <v>289409533</v>
      </c>
      <c r="L143" s="10">
        <v>90000000</v>
      </c>
      <c r="M143" s="13"/>
      <c r="N143" s="13"/>
      <c r="O143" s="13"/>
      <c r="P143" s="13"/>
    </row>
    <row r="144" spans="1:16" ht="31" x14ac:dyDescent="0.35">
      <c r="A144" s="5">
        <v>143</v>
      </c>
      <c r="B144" s="6" t="s">
        <v>153</v>
      </c>
      <c r="C144" s="7">
        <v>40</v>
      </c>
      <c r="D144" s="7" t="str">
        <f>VLOOKUP(C144,'5-Genre Codes'!$A$1:$B$11,2,FALSE)</f>
        <v>Fantasy</v>
      </c>
      <c r="E144" s="8">
        <v>1992</v>
      </c>
      <c r="F144" s="6">
        <v>12055</v>
      </c>
      <c r="G144" s="6" t="str">
        <f>VLOOKUP(F144,'4-Actor Codes'!$A$1:$B$622,2,FALSE)</f>
        <v>Debi Derryberry</v>
      </c>
      <c r="H144" s="8" t="s">
        <v>10</v>
      </c>
      <c r="I144" s="9">
        <v>208577270</v>
      </c>
      <c r="J144" s="10">
        <v>286700000</v>
      </c>
      <c r="L144" s="10">
        <v>28000000</v>
      </c>
      <c r="M144" s="13"/>
      <c r="N144" s="13"/>
      <c r="O144" s="13"/>
      <c r="P144" s="13"/>
    </row>
    <row r="145" spans="1:16" x14ac:dyDescent="0.35">
      <c r="A145" s="5">
        <v>144</v>
      </c>
      <c r="B145" s="6" t="s">
        <v>154</v>
      </c>
      <c r="C145" s="7">
        <v>80</v>
      </c>
      <c r="D145" s="7" t="str">
        <f>VLOOKUP(C145,'5-Genre Codes'!$A$1:$B$11,2,FALSE)</f>
        <v>Science Fiction</v>
      </c>
      <c r="E145" s="8">
        <v>2014</v>
      </c>
      <c r="F145" s="6">
        <v>10300</v>
      </c>
      <c r="G145" s="6" t="str">
        <f>VLOOKUP(F145,'4-Actor Codes'!$A$1:$B$622,2,FALSE)</f>
        <v>Andy Serkis</v>
      </c>
      <c r="H145" s="8" t="s">
        <v>13</v>
      </c>
      <c r="I145" s="9">
        <v>208545589</v>
      </c>
      <c r="J145" s="10">
        <v>495000000</v>
      </c>
      <c r="L145" s="10">
        <v>170000000</v>
      </c>
      <c r="M145" s="13"/>
      <c r="N145" s="13"/>
      <c r="O145" s="13"/>
      <c r="P145" s="13"/>
    </row>
    <row r="146" spans="1:16" ht="31" x14ac:dyDescent="0.35">
      <c r="A146" s="5">
        <v>145</v>
      </c>
      <c r="B146" s="6" t="s">
        <v>155</v>
      </c>
      <c r="C146" s="7">
        <v>80</v>
      </c>
      <c r="D146" s="7" t="str">
        <f>VLOOKUP(C146,'5-Genre Codes'!$A$1:$B$11,2,FALSE)</f>
        <v>Science Fiction</v>
      </c>
      <c r="E146" s="8">
        <v>2015</v>
      </c>
      <c r="F146" s="6">
        <v>15685</v>
      </c>
      <c r="G146" s="6" t="str">
        <f>VLOOKUP(F146,'4-Actor Codes'!$A$1:$B$622,2,FALSE)</f>
        <v>Matt Damon</v>
      </c>
      <c r="H146" s="8" t="s">
        <v>13</v>
      </c>
      <c r="I146" s="9">
        <v>208455239</v>
      </c>
      <c r="J146" s="10">
        <v>261400000</v>
      </c>
      <c r="L146" s="10">
        <v>108000000</v>
      </c>
      <c r="M146" s="13"/>
      <c r="N146" s="13"/>
      <c r="O146" s="13"/>
      <c r="P146" s="13"/>
    </row>
    <row r="147" spans="1:16" x14ac:dyDescent="0.35">
      <c r="A147" s="5">
        <v>146</v>
      </c>
      <c r="B147" s="6" t="s">
        <v>156</v>
      </c>
      <c r="C147" s="7">
        <v>60</v>
      </c>
      <c r="D147" s="7" t="str">
        <f>VLOOKUP(C147,'5-Genre Codes'!$A$1:$B$11,2,FALSE)</f>
        <v>Kids Fiction</v>
      </c>
      <c r="E147" s="8">
        <v>2005</v>
      </c>
      <c r="F147" s="6">
        <v>13600</v>
      </c>
      <c r="G147" s="6" t="str">
        <f>VLOOKUP(F147,'4-Actor Codes'!$A$1:$B$622,2,FALSE)</f>
        <v>James Fox</v>
      </c>
      <c r="H147" s="8" t="s">
        <v>10</v>
      </c>
      <c r="I147" s="9">
        <v>206459076</v>
      </c>
      <c r="J147" s="10">
        <v>269366408</v>
      </c>
      <c r="L147" s="10">
        <v>150000000</v>
      </c>
      <c r="M147" s="13"/>
      <c r="N147" s="13"/>
      <c r="O147" s="13"/>
      <c r="P147" s="13"/>
    </row>
    <row r="148" spans="1:16" x14ac:dyDescent="0.35">
      <c r="A148" s="5">
        <v>147</v>
      </c>
      <c r="B148" s="6" t="s">
        <v>157</v>
      </c>
      <c r="C148" s="7">
        <v>60</v>
      </c>
      <c r="D148" s="7" t="str">
        <f>VLOOKUP(C148,'5-Genre Codes'!$A$1:$B$11,2,FALSE)</f>
        <v>Kids Fiction</v>
      </c>
      <c r="E148" s="8">
        <v>2007</v>
      </c>
      <c r="F148" s="6">
        <v>10915</v>
      </c>
      <c r="G148" s="6" t="str">
        <f>VLOOKUP(F148,'4-Actor Codes'!$A$1:$B$622,2,FALSE)</f>
        <v>Brad Garrett</v>
      </c>
      <c r="H148" s="8" t="s">
        <v>10</v>
      </c>
      <c r="I148" s="9">
        <v>206445654</v>
      </c>
      <c r="J148" s="10">
        <v>420104041</v>
      </c>
      <c r="L148" s="10">
        <v>150000000</v>
      </c>
      <c r="M148" s="13"/>
      <c r="N148" s="13"/>
      <c r="O148" s="13"/>
      <c r="P148" s="13"/>
    </row>
    <row r="149" spans="1:16" ht="31" x14ac:dyDescent="0.35">
      <c r="A149" s="5">
        <v>148</v>
      </c>
      <c r="B149" s="6" t="s">
        <v>158</v>
      </c>
      <c r="C149" s="7">
        <v>90</v>
      </c>
      <c r="D149" s="7" t="str">
        <f>VLOOKUP(C149,'5-Genre Codes'!$A$1:$B$11,2,FALSE)</f>
        <v>Super Hero</v>
      </c>
      <c r="E149" s="8">
        <v>2013</v>
      </c>
      <c r="F149" s="6">
        <v>16390</v>
      </c>
      <c r="G149" s="6" t="str">
        <f>VLOOKUP(F149,'4-Actor Codes'!$A$1:$B$622,2,FALSE)</f>
        <v>Natalie Portman</v>
      </c>
      <c r="H149" s="8" t="s">
        <v>13</v>
      </c>
      <c r="I149" s="9">
        <v>206360018</v>
      </c>
      <c r="J149" s="10">
        <v>427000000</v>
      </c>
      <c r="L149" s="10">
        <v>150000000</v>
      </c>
      <c r="M149" s="13"/>
      <c r="N149" s="13"/>
      <c r="O149" s="13"/>
      <c r="P149" s="13"/>
    </row>
    <row r="150" spans="1:16" x14ac:dyDescent="0.35">
      <c r="A150" s="5">
        <v>149</v>
      </c>
      <c r="B150" s="6" t="s">
        <v>159</v>
      </c>
      <c r="C150" s="7">
        <v>40</v>
      </c>
      <c r="D150" s="7" t="str">
        <f>VLOOKUP(C150,'5-Genre Codes'!$A$1:$B$11,2,FALSE)</f>
        <v>Fantasy</v>
      </c>
      <c r="E150" s="8">
        <v>1990</v>
      </c>
      <c r="F150" s="6">
        <v>12085</v>
      </c>
      <c r="G150" s="6" t="str">
        <f>VLOOKUP(F150,'4-Actor Codes'!$A$1:$B$622,2,FALSE)</f>
        <v>Demi Moore</v>
      </c>
      <c r="H150" s="8" t="s">
        <v>10</v>
      </c>
      <c r="I150" s="9">
        <v>206143657</v>
      </c>
      <c r="J150" s="10">
        <v>299968694</v>
      </c>
      <c r="L150" s="10">
        <v>22000000</v>
      </c>
      <c r="M150" s="13"/>
      <c r="N150" s="13"/>
      <c r="O150" s="13"/>
      <c r="P150" s="13"/>
    </row>
    <row r="151" spans="1:16" ht="31" x14ac:dyDescent="0.35">
      <c r="A151" s="5">
        <v>150</v>
      </c>
      <c r="B151" s="6" t="s">
        <v>160</v>
      </c>
      <c r="C151" s="7">
        <v>20</v>
      </c>
      <c r="D151" s="7" t="str">
        <f>VLOOKUP(C151,'5-Genre Codes'!$A$1:$B$11,2,FALSE)</f>
        <v>Dramatization</v>
      </c>
      <c r="E151" s="8">
        <v>1999</v>
      </c>
      <c r="F151" s="6">
        <v>12565</v>
      </c>
      <c r="G151" s="6" t="str">
        <f>VLOOKUP(F151,'4-Actor Codes'!$A$1:$B$622,2,FALSE)</f>
        <v>Eric Winzenried</v>
      </c>
      <c r="H151" s="8" t="s">
        <v>13</v>
      </c>
      <c r="I151" s="9">
        <v>205957794</v>
      </c>
      <c r="J151" s="10">
        <v>104292551</v>
      </c>
      <c r="L151" s="10">
        <v>35000000</v>
      </c>
      <c r="M151" s="13"/>
      <c r="N151" s="13"/>
      <c r="O151" s="13"/>
      <c r="P151" s="13"/>
    </row>
    <row r="152" spans="1:16" x14ac:dyDescent="0.35">
      <c r="A152" s="5">
        <v>151</v>
      </c>
      <c r="B152" s="6" t="s">
        <v>161</v>
      </c>
      <c r="C152" s="7">
        <v>90</v>
      </c>
      <c r="D152" s="7" t="str">
        <f>VLOOKUP(C152,'5-Genre Codes'!$A$1:$B$11,2,FALSE)</f>
        <v>Super Hero</v>
      </c>
      <c r="E152" s="8">
        <v>2005</v>
      </c>
      <c r="F152" s="6">
        <v>17785</v>
      </c>
      <c r="G152" s="6" t="str">
        <f>VLOOKUP(F152,'4-Actor Codes'!$A$1:$B$622,2,FALSE)</f>
        <v>Sara Stewart</v>
      </c>
      <c r="H152" s="8" t="s">
        <v>10</v>
      </c>
      <c r="I152" s="9">
        <v>205343774</v>
      </c>
      <c r="J152" s="10">
        <v>153798948</v>
      </c>
      <c r="L152" s="10">
        <v>150000000</v>
      </c>
      <c r="M152" s="13"/>
      <c r="N152" s="13"/>
      <c r="O152" s="13"/>
      <c r="P152" s="13"/>
    </row>
    <row r="153" spans="1:16" x14ac:dyDescent="0.35">
      <c r="A153" s="5">
        <v>152</v>
      </c>
      <c r="B153" s="6" t="s">
        <v>162</v>
      </c>
      <c r="C153" s="7">
        <v>40</v>
      </c>
      <c r="D153" s="7" t="str">
        <f>VLOOKUP(C153,'5-Genre Codes'!$A$1:$B$11,2,FALSE)</f>
        <v>Fantasy</v>
      </c>
      <c r="E153" s="8">
        <v>1973</v>
      </c>
      <c r="F153" s="6">
        <v>15130</v>
      </c>
      <c r="G153" s="6" t="str">
        <f>VLOOKUP(F153,'4-Actor Codes'!$A$1:$B$622,2,FALSE)</f>
        <v>Lee J. Cobb</v>
      </c>
      <c r="H153" s="8" t="s">
        <v>10</v>
      </c>
      <c r="I153" s="9">
        <v>204868002</v>
      </c>
      <c r="J153" s="10">
        <v>197867132</v>
      </c>
      <c r="L153" s="10">
        <v>12000000</v>
      </c>
      <c r="M153" s="13"/>
      <c r="N153" s="13"/>
      <c r="O153" s="13"/>
      <c r="P153" s="13"/>
    </row>
    <row r="154" spans="1:16" ht="31" x14ac:dyDescent="0.35">
      <c r="A154" s="5">
        <v>153</v>
      </c>
      <c r="B154" s="6" t="s">
        <v>163</v>
      </c>
      <c r="C154" s="7">
        <v>90</v>
      </c>
      <c r="D154" s="7" t="str">
        <f>VLOOKUP(C154,'5-Genre Codes'!$A$1:$B$11,2,FALSE)</f>
        <v>Super Hero</v>
      </c>
      <c r="E154" s="8">
        <v>2013</v>
      </c>
      <c r="F154" s="6">
        <v>10255</v>
      </c>
      <c r="G154" s="6" t="str">
        <f>VLOOKUP(F154,'4-Actor Codes'!$A$1:$B$622,2,FALSE)</f>
        <v>Andrew Garfield</v>
      </c>
      <c r="H154" s="8" t="s">
        <v>13</v>
      </c>
      <c r="I154" s="9">
        <v>202853933</v>
      </c>
      <c r="J154" s="10">
        <v>100019072</v>
      </c>
      <c r="L154" s="10">
        <v>110000000</v>
      </c>
      <c r="M154" s="13"/>
      <c r="N154" s="13"/>
      <c r="O154" s="13"/>
      <c r="P154" s="13"/>
    </row>
    <row r="155" spans="1:16" x14ac:dyDescent="0.35">
      <c r="A155" s="5">
        <v>154</v>
      </c>
      <c r="B155" s="6" t="s">
        <v>164</v>
      </c>
      <c r="C155" s="7">
        <v>80</v>
      </c>
      <c r="D155" s="7" t="str">
        <f>VLOOKUP(C155,'5-Genre Codes'!$A$1:$B$11,2,FALSE)</f>
        <v>Science Fiction</v>
      </c>
      <c r="E155" s="8">
        <v>2011</v>
      </c>
      <c r="F155" s="6">
        <v>10930</v>
      </c>
      <c r="G155" s="6" t="str">
        <f>VLOOKUP(F155,'4-Actor Codes'!$A$1:$B$622,2,FALSE)</f>
        <v>Brad Pitt</v>
      </c>
      <c r="H155" s="8" t="s">
        <v>10</v>
      </c>
      <c r="I155" s="9">
        <v>202359711</v>
      </c>
      <c r="J155" s="10">
        <v>329154939</v>
      </c>
      <c r="L155" s="10">
        <v>190000000</v>
      </c>
      <c r="M155" s="13"/>
      <c r="N155" s="13"/>
      <c r="O155" s="13"/>
      <c r="P155" s="13"/>
    </row>
    <row r="156" spans="1:16" ht="31" x14ac:dyDescent="0.35">
      <c r="A156" s="5">
        <v>155</v>
      </c>
      <c r="B156" s="6" t="s">
        <v>165</v>
      </c>
      <c r="C156" s="7">
        <v>40</v>
      </c>
      <c r="D156" s="7" t="str">
        <f>VLOOKUP(C156,'5-Genre Codes'!$A$1:$B$11,2,FALSE)</f>
        <v>Fantasy</v>
      </c>
      <c r="E156" s="8">
        <v>2001</v>
      </c>
      <c r="F156" s="6">
        <v>11035</v>
      </c>
      <c r="G156" s="6" t="str">
        <f>VLOOKUP(F156,'4-Actor Codes'!$A$1:$B$622,2,FALSE)</f>
        <v>Brendan Fraser</v>
      </c>
      <c r="H156" s="8" t="s">
        <v>13</v>
      </c>
      <c r="I156" s="9">
        <v>202007640</v>
      </c>
      <c r="J156" s="10">
        <v>233032755</v>
      </c>
      <c r="L156" s="10">
        <v>98000000</v>
      </c>
      <c r="M156" s="13"/>
      <c r="N156" s="13"/>
      <c r="O156" s="13"/>
      <c r="P156" s="13"/>
    </row>
    <row r="157" spans="1:16" ht="46.5" x14ac:dyDescent="0.35">
      <c r="A157" s="5">
        <v>156</v>
      </c>
      <c r="B157" s="6" t="s">
        <v>166</v>
      </c>
      <c r="C157" s="7">
        <v>80</v>
      </c>
      <c r="D157" s="7" t="str">
        <f>VLOOKUP(C157,'5-Genre Codes'!$A$1:$B$11,2,FALSE)</f>
        <v>Science Fiction</v>
      </c>
      <c r="E157" s="8">
        <v>1991</v>
      </c>
      <c r="F157" s="6">
        <v>10525</v>
      </c>
      <c r="G157" s="6" t="str">
        <f>VLOOKUP(F157,'4-Actor Codes'!$A$1:$B$622,2,FALSE)</f>
        <v>Arnold Schwarzenegger</v>
      </c>
      <c r="H157" s="8" t="s">
        <v>13</v>
      </c>
      <c r="I157" s="9">
        <v>201858746</v>
      </c>
      <c r="J157" s="10">
        <v>311956655</v>
      </c>
      <c r="L157" s="10">
        <v>100000000</v>
      </c>
      <c r="M157" s="13"/>
      <c r="N157" s="13"/>
      <c r="O157" s="13"/>
      <c r="P157" s="13"/>
    </row>
    <row r="158" spans="1:16" ht="31" x14ac:dyDescent="0.35">
      <c r="A158" s="5">
        <v>157</v>
      </c>
      <c r="B158" s="6" t="s">
        <v>167</v>
      </c>
      <c r="C158" s="7">
        <v>80</v>
      </c>
      <c r="D158" s="7" t="str">
        <f>VLOOKUP(C158,'5-Genre Codes'!$A$1:$B$11,2,FALSE)</f>
        <v>Science Fiction</v>
      </c>
      <c r="E158" s="8">
        <v>1998</v>
      </c>
      <c r="F158" s="6">
        <v>13585</v>
      </c>
      <c r="G158" s="6" t="str">
        <f>VLOOKUP(F158,'4-Actor Codes'!$A$1:$B$622,2,FALSE)</f>
        <v>James Fitzpatrick</v>
      </c>
      <c r="H158" s="8" t="s">
        <v>10</v>
      </c>
      <c r="I158" s="9">
        <v>201573391</v>
      </c>
      <c r="J158" s="10">
        <v>353021818</v>
      </c>
      <c r="L158" s="10">
        <v>140000000</v>
      </c>
      <c r="M158" s="13"/>
      <c r="N158" s="13"/>
      <c r="O158" s="13"/>
      <c r="P158" s="13"/>
    </row>
    <row r="159" spans="1:16" ht="31" x14ac:dyDescent="0.35">
      <c r="A159" s="5">
        <v>158</v>
      </c>
      <c r="B159" s="6" t="s">
        <v>168</v>
      </c>
      <c r="C159" s="7">
        <v>40</v>
      </c>
      <c r="D159" s="7" t="str">
        <f>VLOOKUP(C159,'5-Genre Codes'!$A$1:$B$11,2,FALSE)</f>
        <v>Fantasy</v>
      </c>
      <c r="E159" s="8">
        <v>2014</v>
      </c>
      <c r="F159" s="6">
        <v>16525</v>
      </c>
      <c r="G159" s="6" t="str">
        <f>VLOOKUP(F159,'4-Actor Codes'!$A$1:$B$622,2,FALSE)</f>
        <v>Nonso Anozie</v>
      </c>
      <c r="H159" s="8" t="s">
        <v>10</v>
      </c>
      <c r="I159" s="9">
        <v>201151353</v>
      </c>
      <c r="J159" s="10">
        <v>178591415</v>
      </c>
      <c r="L159" s="10">
        <v>2900000</v>
      </c>
      <c r="M159" s="13"/>
      <c r="N159" s="13"/>
      <c r="O159" s="13"/>
      <c r="P159" s="13"/>
    </row>
    <row r="160" spans="1:16" ht="31" x14ac:dyDescent="0.35">
      <c r="A160" s="5">
        <v>159</v>
      </c>
      <c r="B160" s="6" t="s">
        <v>169</v>
      </c>
      <c r="C160" s="7">
        <v>60</v>
      </c>
      <c r="D160" s="7" t="str">
        <f>VLOOKUP(C160,'5-Genre Codes'!$A$1:$B$11,2,FALSE)</f>
        <v>Kids Fiction</v>
      </c>
      <c r="E160" s="8">
        <v>2010</v>
      </c>
      <c r="F160" s="6">
        <v>15460</v>
      </c>
      <c r="G160" s="6" t="str">
        <f>VLOOKUP(F160,'4-Actor Codes'!$A$1:$B$622,2,FALSE)</f>
        <v>Mandy Moore</v>
      </c>
      <c r="H160" s="8" t="s">
        <v>10</v>
      </c>
      <c r="I160" s="9">
        <v>200821936</v>
      </c>
      <c r="J160" s="10">
        <v>385760000</v>
      </c>
      <c r="L160" s="10">
        <v>260000000</v>
      </c>
      <c r="M160" s="13"/>
      <c r="N160" s="13"/>
      <c r="O160" s="13"/>
      <c r="P160" s="13"/>
    </row>
    <row r="161" spans="1:16" ht="31" x14ac:dyDescent="0.35">
      <c r="A161" s="5">
        <v>160</v>
      </c>
      <c r="B161" s="6" t="s">
        <v>170</v>
      </c>
      <c r="C161" s="7">
        <v>80</v>
      </c>
      <c r="D161" s="7" t="str">
        <f>VLOOKUP(C161,'5-Genre Codes'!$A$1:$B$11,2,FALSE)</f>
        <v>Science Fiction</v>
      </c>
      <c r="E161" s="8">
        <v>2014</v>
      </c>
      <c r="F161" s="6">
        <v>12460</v>
      </c>
      <c r="G161" s="6" t="str">
        <f>VLOOKUP(F161,'4-Actor Codes'!$A$1:$B$622,2,FALSE)</f>
        <v>Elizabeth Olsen</v>
      </c>
      <c r="H161" s="8" t="s">
        <v>10</v>
      </c>
      <c r="I161" s="9">
        <v>200672193</v>
      </c>
      <c r="J161" s="10">
        <v>239685706</v>
      </c>
      <c r="L161" s="10">
        <v>125000000</v>
      </c>
      <c r="M161" s="13"/>
      <c r="N161" s="13"/>
      <c r="O161" s="13"/>
      <c r="P161" s="13"/>
    </row>
    <row r="162" spans="1:16" ht="31" x14ac:dyDescent="0.35">
      <c r="A162" s="5">
        <v>161</v>
      </c>
      <c r="B162" s="6" t="s">
        <v>171</v>
      </c>
      <c r="C162" s="7">
        <v>90</v>
      </c>
      <c r="D162" s="7" t="str">
        <f>VLOOKUP(C162,'5-Genre Codes'!$A$1:$B$11,2,FALSE)</f>
        <v>Super Hero</v>
      </c>
      <c r="E162" s="8">
        <v>2006</v>
      </c>
      <c r="F162" s="6">
        <v>10975</v>
      </c>
      <c r="G162" s="6" t="str">
        <f>VLOOKUP(F162,'4-Actor Codes'!$A$1:$B$622,2,FALSE)</f>
        <v>Brandon Routh</v>
      </c>
      <c r="H162" s="8" t="s">
        <v>10</v>
      </c>
      <c r="I162" s="9">
        <v>200120000</v>
      </c>
      <c r="J162" s="10">
        <v>173965065</v>
      </c>
      <c r="L162" s="10">
        <v>232000000</v>
      </c>
      <c r="M162" s="13"/>
      <c r="N162" s="13"/>
      <c r="O162" s="13"/>
      <c r="P162" s="13"/>
    </row>
    <row r="163" spans="1:16" x14ac:dyDescent="0.35">
      <c r="A163" s="5">
        <v>162</v>
      </c>
      <c r="B163" s="6" t="s">
        <v>172</v>
      </c>
      <c r="C163" s="7">
        <v>50</v>
      </c>
      <c r="D163" s="7" t="str">
        <f>VLOOKUP(C163,'5-Genre Codes'!$A$1:$B$11,2,FALSE)</f>
        <v>Historical Fiction</v>
      </c>
      <c r="E163" s="8">
        <v>1939</v>
      </c>
      <c r="F163" s="6">
        <v>11560</v>
      </c>
      <c r="G163" s="6" t="str">
        <f>VLOOKUP(F163,'4-Actor Codes'!$A$1:$B$622,2,FALSE)</f>
        <v>Clark Gable</v>
      </c>
      <c r="H163" s="8" t="s">
        <v>10</v>
      </c>
      <c r="I163" s="9">
        <v>198680470</v>
      </c>
      <c r="J163" s="10">
        <v>191844722</v>
      </c>
      <c r="L163" s="10">
        <v>3900000</v>
      </c>
      <c r="M163" s="13"/>
      <c r="N163" s="13"/>
      <c r="O163" s="13"/>
      <c r="P163" s="13"/>
    </row>
    <row r="164" spans="1:16" x14ac:dyDescent="0.35">
      <c r="A164" s="5">
        <v>163</v>
      </c>
      <c r="B164" s="6" t="s">
        <v>173</v>
      </c>
      <c r="C164" s="7">
        <v>20</v>
      </c>
      <c r="D164" s="7" t="str">
        <f>VLOOKUP(C164,'5-Genre Codes'!$A$1:$B$11,2,FALSE)</f>
        <v>Dramatization</v>
      </c>
      <c r="E164" s="8">
        <v>2001</v>
      </c>
      <c r="F164" s="6">
        <v>10630</v>
      </c>
      <c r="G164" s="6" t="str">
        <f>VLOOKUP(F164,'4-Actor Codes'!$A$1:$B$622,2,FALSE)</f>
        <v>Ben Affleck</v>
      </c>
      <c r="H164" s="8" t="s">
        <v>10</v>
      </c>
      <c r="I164" s="9">
        <v>198539855</v>
      </c>
      <c r="J164" s="10">
        <v>250700000</v>
      </c>
      <c r="L164" s="10">
        <v>151500000</v>
      </c>
      <c r="M164" s="13"/>
      <c r="N164" s="13"/>
      <c r="O164" s="13"/>
      <c r="P164" s="13"/>
    </row>
    <row r="165" spans="1:16" ht="46.5" x14ac:dyDescent="0.35">
      <c r="A165" s="5">
        <v>164</v>
      </c>
      <c r="B165" s="6" t="s">
        <v>174</v>
      </c>
      <c r="C165" s="7">
        <v>60</v>
      </c>
      <c r="D165" s="7" t="str">
        <f>VLOOKUP(C165,'5-Genre Codes'!$A$1:$B$11,2,FALSE)</f>
        <v>Kids Fiction</v>
      </c>
      <c r="E165" s="8">
        <v>2009</v>
      </c>
      <c r="F165" s="6">
        <v>17110</v>
      </c>
      <c r="G165" s="6" t="str">
        <f>VLOOKUP(F165,'4-Actor Codes'!$A$1:$B$622,2,FALSE)</f>
        <v>Reese Witherspoon</v>
      </c>
      <c r="H165" s="8" t="s">
        <v>10</v>
      </c>
      <c r="I165" s="9">
        <v>198351526</v>
      </c>
      <c r="J165" s="10">
        <v>183335854</v>
      </c>
      <c r="L165" s="10">
        <v>175000000</v>
      </c>
      <c r="M165" s="13"/>
      <c r="N165" s="13"/>
      <c r="O165" s="13"/>
      <c r="P165" s="13"/>
    </row>
    <row r="166" spans="1:16" ht="31" x14ac:dyDescent="0.35">
      <c r="A166" s="5">
        <v>165</v>
      </c>
      <c r="B166" s="6" t="s">
        <v>175</v>
      </c>
      <c r="C166" s="7">
        <v>60</v>
      </c>
      <c r="D166" s="7" t="str">
        <f>VLOOKUP(C166,'5-Genre Codes'!$A$1:$B$11,2,FALSE)</f>
        <v>Kids Fiction</v>
      </c>
      <c r="E166" s="8">
        <v>2006</v>
      </c>
      <c r="F166" s="6">
        <v>16255</v>
      </c>
      <c r="G166" s="6" t="str">
        <f>VLOOKUP(F166,'4-Actor Codes'!$A$1:$B$622,2,FALSE)</f>
        <v>Miriam Margolyes</v>
      </c>
      <c r="H166" s="8" t="s">
        <v>10</v>
      </c>
      <c r="I166" s="9">
        <v>198000317</v>
      </c>
      <c r="J166" s="10">
        <v>187000000</v>
      </c>
      <c r="L166" s="10">
        <v>85000000</v>
      </c>
      <c r="M166" s="13"/>
      <c r="N166" s="13"/>
      <c r="O166" s="13"/>
      <c r="P166" s="13"/>
    </row>
    <row r="167" spans="1:16" x14ac:dyDescent="0.35">
      <c r="A167" s="5">
        <v>166</v>
      </c>
      <c r="B167" s="6" t="s">
        <v>176</v>
      </c>
      <c r="C167" s="7">
        <v>60</v>
      </c>
      <c r="D167" s="7" t="str">
        <f>VLOOKUP(C167,'5-Genre Codes'!$A$1:$B$11,2,FALSE)</f>
        <v>Kids Fiction</v>
      </c>
      <c r="E167" s="8">
        <v>2009</v>
      </c>
      <c r="F167" s="6">
        <v>15025</v>
      </c>
      <c r="G167" s="6" t="str">
        <f>VLOOKUP(F167,'4-Actor Codes'!$A$1:$B$622,2,FALSE)</f>
        <v>Kristen Wiig</v>
      </c>
      <c r="H167" s="8" t="s">
        <v>13</v>
      </c>
      <c r="I167" s="9">
        <v>196573705</v>
      </c>
      <c r="J167" s="10">
        <v>663128152</v>
      </c>
      <c r="L167" s="10">
        <v>90000000</v>
      </c>
      <c r="M167" s="13"/>
      <c r="N167" s="13"/>
      <c r="O167" s="13"/>
      <c r="P167" s="13"/>
    </row>
    <row r="168" spans="1:16" x14ac:dyDescent="0.35">
      <c r="A168" s="5">
        <v>167</v>
      </c>
      <c r="B168" s="6" t="s">
        <v>177</v>
      </c>
      <c r="C168" s="7">
        <v>40</v>
      </c>
      <c r="D168" s="7" t="str">
        <f>VLOOKUP(C168,'5-Genre Codes'!$A$1:$B$11,2,FALSE)</f>
        <v>Fantasy</v>
      </c>
      <c r="E168" s="8">
        <v>1989</v>
      </c>
      <c r="F168" s="6">
        <v>13375</v>
      </c>
      <c r="G168" s="6" t="str">
        <f>VLOOKUP(F168,'4-Actor Codes'!$A$1:$B$622,2,FALSE)</f>
        <v>J.J. Hardy</v>
      </c>
      <c r="H168" s="8" t="s">
        <v>13</v>
      </c>
      <c r="I168" s="9">
        <v>195705225</v>
      </c>
      <c r="J168" s="10">
        <v>277000000</v>
      </c>
      <c r="L168" s="10">
        <v>48000000</v>
      </c>
      <c r="M168" s="13"/>
      <c r="N168" s="13"/>
      <c r="O168" s="13"/>
      <c r="P168" s="13"/>
    </row>
    <row r="169" spans="1:16" ht="31" x14ac:dyDescent="0.35">
      <c r="A169" s="5">
        <v>168</v>
      </c>
      <c r="B169" s="6" t="s">
        <v>178</v>
      </c>
      <c r="C169" s="7">
        <v>60</v>
      </c>
      <c r="D169" s="7" t="str">
        <f>VLOOKUP(C169,'5-Genre Codes'!$A$1:$B$11,2,FALSE)</f>
        <v>Kids Fiction</v>
      </c>
      <c r="E169" s="8">
        <v>2006</v>
      </c>
      <c r="F169" s="6">
        <v>18190</v>
      </c>
      <c r="G169" s="6" t="str">
        <f>VLOOKUP(F169,'4-Actor Codes'!$A$1:$B$622,2,FALSE)</f>
        <v>Stephen Root</v>
      </c>
      <c r="H169" s="8" t="s">
        <v>13</v>
      </c>
      <c r="I169" s="9">
        <v>195330621</v>
      </c>
      <c r="J169" s="10">
        <v>456568661</v>
      </c>
      <c r="L169" s="10">
        <v>75000000</v>
      </c>
      <c r="M169" s="13"/>
      <c r="N169" s="13"/>
      <c r="O169" s="13"/>
      <c r="P169" s="13"/>
    </row>
    <row r="170" spans="1:16" ht="31" x14ac:dyDescent="0.35">
      <c r="A170" s="5">
        <v>169</v>
      </c>
      <c r="B170" s="6" t="s">
        <v>179</v>
      </c>
      <c r="C170" s="7">
        <v>10</v>
      </c>
      <c r="D170" s="7" t="str">
        <f>VLOOKUP(C170,'5-Genre Codes'!$A$1:$B$11,2,FALSE)</f>
        <v>Contemporary Fiction</v>
      </c>
      <c r="E170" s="8">
        <v>2015</v>
      </c>
      <c r="F170" s="6">
        <v>18745</v>
      </c>
      <c r="G170" s="6" t="str">
        <f>VLOOKUP(F170,'4-Actor Codes'!$A$1:$B$622,2,FALSE)</f>
        <v>Tom Cruise</v>
      </c>
      <c r="H170" s="8" t="s">
        <v>13</v>
      </c>
      <c r="I170" s="9">
        <v>195042377</v>
      </c>
      <c r="J170" s="10">
        <v>505825986</v>
      </c>
      <c r="L170" s="10">
        <v>150000000</v>
      </c>
      <c r="M170" s="13"/>
      <c r="N170" s="13"/>
      <c r="O170" s="13"/>
      <c r="P170" s="13"/>
    </row>
    <row r="171" spans="1:16" x14ac:dyDescent="0.35">
      <c r="A171" s="5">
        <v>170</v>
      </c>
      <c r="B171" s="6" t="s">
        <v>180</v>
      </c>
      <c r="C171" s="7">
        <v>60</v>
      </c>
      <c r="D171" s="7" t="str">
        <f>VLOOKUP(C171,'5-Genre Codes'!$A$1:$B$11,2,FALSE)</f>
        <v>Kids Fiction</v>
      </c>
      <c r="E171" s="8">
        <v>2004</v>
      </c>
      <c r="F171" s="6">
        <v>18760</v>
      </c>
      <c r="G171" s="6" t="str">
        <f>VLOOKUP(F171,'4-Actor Codes'!$A$1:$B$622,2,FALSE)</f>
        <v>Tom Hanks</v>
      </c>
      <c r="H171" s="8" t="s">
        <v>10</v>
      </c>
      <c r="I171" s="9">
        <v>194949659</v>
      </c>
      <c r="J171" s="10">
        <v>124100000</v>
      </c>
      <c r="L171" s="10">
        <v>170000000</v>
      </c>
      <c r="M171" s="13"/>
      <c r="N171" s="13"/>
      <c r="O171" s="13"/>
      <c r="P171" s="13"/>
    </row>
    <row r="172" spans="1:16" x14ac:dyDescent="0.35">
      <c r="A172" s="5">
        <v>171</v>
      </c>
      <c r="B172" s="6" t="s">
        <v>181</v>
      </c>
      <c r="C172" s="7">
        <v>60</v>
      </c>
      <c r="D172" s="7" t="str">
        <f>VLOOKUP(C172,'5-Genre Codes'!$A$1:$B$11,2,FALSE)</f>
        <v>Kids Fiction</v>
      </c>
      <c r="E172" s="8">
        <v>2005</v>
      </c>
      <c r="F172" s="6">
        <v>10660</v>
      </c>
      <c r="G172" s="6" t="str">
        <f>VLOOKUP(F172,'4-Actor Codes'!$A$1:$B$622,2,FALSE)</f>
        <v>Ben Stiller</v>
      </c>
      <c r="H172" s="8" t="s">
        <v>10</v>
      </c>
      <c r="I172" s="9">
        <v>193166575</v>
      </c>
      <c r="J172" s="10">
        <v>362964045</v>
      </c>
      <c r="L172" s="10">
        <v>75000000</v>
      </c>
      <c r="M172" s="13"/>
      <c r="N172" s="13"/>
      <c r="O172" s="13"/>
      <c r="P172" s="13"/>
    </row>
    <row r="173" spans="1:16" ht="31" x14ac:dyDescent="0.35">
      <c r="A173" s="5">
        <v>172</v>
      </c>
      <c r="B173" s="6" t="s">
        <v>182</v>
      </c>
      <c r="C173" s="7">
        <v>40</v>
      </c>
      <c r="D173" s="7" t="str">
        <f>VLOOKUP(C173,'5-Genre Codes'!$A$1:$B$11,2,FALSE)</f>
        <v>Fantasy</v>
      </c>
      <c r="E173" s="8">
        <v>2008</v>
      </c>
      <c r="F173" s="6">
        <v>15010</v>
      </c>
      <c r="G173" s="6" t="str">
        <f>VLOOKUP(F173,'4-Actor Codes'!$A$1:$B$622,2,FALSE)</f>
        <v>Kristen Stewart</v>
      </c>
      <c r="H173" s="8" t="s">
        <v>10</v>
      </c>
      <c r="I173" s="9">
        <v>192769854</v>
      </c>
      <c r="J173" s="10">
        <v>209510305</v>
      </c>
      <c r="L173" s="10">
        <v>37000000</v>
      </c>
      <c r="M173" s="13"/>
      <c r="N173" s="13"/>
      <c r="O173" s="13"/>
      <c r="P173" s="13"/>
    </row>
    <row r="174" spans="1:16" ht="31" x14ac:dyDescent="0.35">
      <c r="A174" s="5">
        <v>173</v>
      </c>
      <c r="B174" s="6" t="s">
        <v>183</v>
      </c>
      <c r="C174" s="7">
        <v>10</v>
      </c>
      <c r="D174" s="7" t="str">
        <f>VLOOKUP(C174,'5-Genre Codes'!$A$1:$B$11,2,FALSE)</f>
        <v>Contemporary Fiction</v>
      </c>
      <c r="E174" s="8">
        <v>2014</v>
      </c>
      <c r="F174" s="6">
        <v>14395</v>
      </c>
      <c r="G174" s="6" t="str">
        <f>VLOOKUP(F174,'4-Actor Codes'!$A$1:$B$622,2,FALSE)</f>
        <v>Jonah Hill</v>
      </c>
      <c r="H174" s="8" t="s">
        <v>13</v>
      </c>
      <c r="I174" s="9">
        <v>191719337</v>
      </c>
      <c r="J174" s="10">
        <v>139614539</v>
      </c>
      <c r="L174" s="10">
        <v>50000000</v>
      </c>
      <c r="M174" s="13"/>
      <c r="N174" s="13"/>
      <c r="O174" s="13"/>
      <c r="P174" s="13"/>
    </row>
    <row r="175" spans="1:16" x14ac:dyDescent="0.35">
      <c r="A175" s="5">
        <v>174</v>
      </c>
      <c r="B175" s="6" t="s">
        <v>184</v>
      </c>
      <c r="C175" s="7">
        <v>60</v>
      </c>
      <c r="D175" s="7" t="str">
        <f>VLOOKUP(C175,'5-Genre Codes'!$A$1:$B$11,2,FALSE)</f>
        <v>Kids Fiction</v>
      </c>
      <c r="E175" s="8">
        <v>1995</v>
      </c>
      <c r="F175" s="6">
        <v>18580</v>
      </c>
      <c r="G175" s="6" t="str">
        <f>VLOOKUP(F175,'4-Actor Codes'!$A$1:$B$622,2,FALSE)</f>
        <v>Tim Allen</v>
      </c>
      <c r="H175" s="8" t="s">
        <v>10</v>
      </c>
      <c r="I175" s="9">
        <v>191652928</v>
      </c>
      <c r="J175" s="10">
        <v>172749283</v>
      </c>
      <c r="L175" s="10">
        <v>30000000</v>
      </c>
      <c r="M175" s="13"/>
      <c r="N175" s="13"/>
      <c r="O175" s="13"/>
      <c r="P175" s="13"/>
    </row>
    <row r="176" spans="1:16" ht="31" x14ac:dyDescent="0.35">
      <c r="A176" s="5">
        <v>175</v>
      </c>
      <c r="B176" s="6" t="s">
        <v>185</v>
      </c>
      <c r="C176" s="7">
        <v>60</v>
      </c>
      <c r="D176" s="7" t="str">
        <f>VLOOKUP(C176,'5-Genre Codes'!$A$1:$B$11,2,FALSE)</f>
        <v>Kids Fiction</v>
      </c>
      <c r="E176" s="8">
        <v>2011</v>
      </c>
      <c r="F176" s="6">
        <v>16630</v>
      </c>
      <c r="G176" s="6" t="str">
        <f>VLOOKUP(F176,'4-Actor Codes'!$A$1:$B$622,2,FALSE)</f>
        <v>Owen Wilson</v>
      </c>
      <c r="H176" s="8" t="s">
        <v>13</v>
      </c>
      <c r="I176" s="9">
        <v>191450875</v>
      </c>
      <c r="J176" s="10">
        <v>368704508</v>
      </c>
      <c r="L176" s="10">
        <v>200000000</v>
      </c>
      <c r="M176" s="13"/>
      <c r="N176" s="13"/>
      <c r="O176" s="13"/>
      <c r="P176" s="13"/>
    </row>
    <row r="177" spans="1:16" x14ac:dyDescent="0.35">
      <c r="A177" s="5">
        <v>176</v>
      </c>
      <c r="B177" s="6" t="s">
        <v>186</v>
      </c>
      <c r="C177" s="7">
        <v>90</v>
      </c>
      <c r="D177" s="7" t="str">
        <f>VLOOKUP(C177,'5-Genre Codes'!$A$1:$B$11,2,FALSE)</f>
        <v>Super Hero</v>
      </c>
      <c r="E177" s="8">
        <v>2014</v>
      </c>
      <c r="F177" s="6">
        <v>15850</v>
      </c>
      <c r="G177" s="6" t="str">
        <f>VLOOKUP(F177,'4-Actor Codes'!$A$1:$B$622,2,FALSE)</f>
        <v>Megan Fox</v>
      </c>
      <c r="H177" s="8" t="s">
        <v>10</v>
      </c>
      <c r="I177" s="9">
        <v>191204754</v>
      </c>
      <c r="J177" s="10">
        <v>66734085</v>
      </c>
      <c r="L177" s="10">
        <v>13500000</v>
      </c>
      <c r="M177" s="13"/>
      <c r="N177" s="13"/>
      <c r="O177" s="13"/>
      <c r="P177" s="13"/>
    </row>
    <row r="178" spans="1:16" ht="31" x14ac:dyDescent="0.35">
      <c r="A178" s="5">
        <v>177</v>
      </c>
      <c r="B178" s="6" t="s">
        <v>187</v>
      </c>
      <c r="C178" s="7">
        <v>80</v>
      </c>
      <c r="D178" s="7" t="str">
        <f>VLOOKUP(C178,'5-Genre Codes'!$A$1:$B$11,2,FALSE)</f>
        <v>Science Fiction</v>
      </c>
      <c r="E178" s="8">
        <v>2002</v>
      </c>
      <c r="F178" s="6">
        <v>18865</v>
      </c>
      <c r="G178" s="6" t="str">
        <f>VLOOKUP(F178,'4-Actor Codes'!$A$1:$B$622,2,FALSE)</f>
        <v>Tommy Lee Jones</v>
      </c>
      <c r="H178" s="8" t="s">
        <v>13</v>
      </c>
      <c r="I178" s="9">
        <v>190418803</v>
      </c>
      <c r="J178" s="10">
        <v>251349000</v>
      </c>
      <c r="L178" s="10">
        <v>140000000</v>
      </c>
      <c r="M178" s="13"/>
      <c r="N178" s="13"/>
      <c r="O178" s="13"/>
      <c r="P178" s="13"/>
    </row>
    <row r="179" spans="1:16" ht="31" x14ac:dyDescent="0.35">
      <c r="A179" s="5">
        <v>178</v>
      </c>
      <c r="B179" s="6" t="s">
        <v>188</v>
      </c>
      <c r="C179" s="7">
        <v>60</v>
      </c>
      <c r="D179" s="7" t="str">
        <f>VLOOKUP(C179,'5-Genre Codes'!$A$1:$B$11,2,FALSE)</f>
        <v>Kids Fiction</v>
      </c>
      <c r="E179" s="8">
        <v>2012</v>
      </c>
      <c r="F179" s="6">
        <v>14290</v>
      </c>
      <c r="G179" s="6" t="str">
        <f>VLOOKUP(F179,'4-Actor Codes'!$A$1:$B$622,2,FALSE)</f>
        <v>John C. Reilly</v>
      </c>
      <c r="H179" s="8" t="s">
        <v>10</v>
      </c>
      <c r="I179" s="9">
        <v>189412677</v>
      </c>
      <c r="J179" s="10">
        <v>284000000</v>
      </c>
      <c r="L179" s="10">
        <v>165000000</v>
      </c>
      <c r="M179" s="13"/>
      <c r="N179" s="13"/>
      <c r="O179" s="13"/>
      <c r="P179" s="13"/>
    </row>
    <row r="180" spans="1:16" ht="46.5" x14ac:dyDescent="0.35">
      <c r="A180" s="5">
        <v>179</v>
      </c>
      <c r="B180" s="6" t="s">
        <v>189</v>
      </c>
      <c r="C180" s="7">
        <v>80</v>
      </c>
      <c r="D180" s="7" t="str">
        <f>VLOOKUP(C180,'5-Genre Codes'!$A$1:$B$11,2,FALSE)</f>
        <v>Science Fiction</v>
      </c>
      <c r="E180" s="8">
        <v>2014</v>
      </c>
      <c r="F180" s="6">
        <v>15805</v>
      </c>
      <c r="G180" s="6" t="str">
        <f>VLOOKUP(F180,'4-Actor Codes'!$A$1:$B$622,2,FALSE)</f>
        <v>Matthew McConaughey</v>
      </c>
      <c r="H180" s="8" t="s">
        <v>10</v>
      </c>
      <c r="I180" s="9">
        <v>188017894</v>
      </c>
      <c r="J180" s="10">
        <v>477400000</v>
      </c>
      <c r="L180" s="10">
        <v>165000000</v>
      </c>
      <c r="M180" s="13"/>
      <c r="N180" s="13"/>
      <c r="O180" s="13"/>
      <c r="P180" s="13"/>
    </row>
    <row r="181" spans="1:16" ht="31" x14ac:dyDescent="0.35">
      <c r="A181" s="5">
        <v>180</v>
      </c>
      <c r="B181" s="6" t="s">
        <v>190</v>
      </c>
      <c r="C181" s="7">
        <v>50</v>
      </c>
      <c r="D181" s="7" t="str">
        <f>VLOOKUP(C181,'5-Genre Codes'!$A$1:$B$11,2,FALSE)</f>
        <v>Historical Fiction</v>
      </c>
      <c r="E181" s="8">
        <v>2000</v>
      </c>
      <c r="F181" s="6">
        <v>17605</v>
      </c>
      <c r="G181" s="6" t="str">
        <f>VLOOKUP(F181,'4-Actor Codes'!$A$1:$B$622,2,FALSE)</f>
        <v>Russell Crowe</v>
      </c>
      <c r="H181" s="8" t="s">
        <v>10</v>
      </c>
      <c r="I181" s="9">
        <v>187683805</v>
      </c>
      <c r="J181" s="10">
        <v>270000000</v>
      </c>
      <c r="K181" s="11" t="s">
        <v>1010</v>
      </c>
      <c r="L181" s="10">
        <v>103000000</v>
      </c>
      <c r="M181" s="13"/>
      <c r="N181" s="13"/>
      <c r="O181" s="13"/>
      <c r="P181" s="13"/>
    </row>
    <row r="182" spans="1:16" ht="31" x14ac:dyDescent="0.35">
      <c r="A182" s="5">
        <v>181</v>
      </c>
      <c r="B182" s="6" t="s">
        <v>191</v>
      </c>
      <c r="C182" s="7">
        <v>60</v>
      </c>
      <c r="D182" s="7" t="str">
        <f>VLOOKUP(C182,'5-Genre Codes'!$A$1:$B$11,2,FALSE)</f>
        <v>Kids Fiction</v>
      </c>
      <c r="E182" s="8">
        <v>2012</v>
      </c>
      <c r="F182" s="6">
        <v>17650</v>
      </c>
      <c r="G182" s="6" t="str">
        <f>VLOOKUP(F182,'4-Actor Codes'!$A$1:$B$622,2,FALSE)</f>
        <v>Ryan Reynolds</v>
      </c>
      <c r="H182" s="8" t="s">
        <v>10</v>
      </c>
      <c r="I182" s="9">
        <v>187168425</v>
      </c>
      <c r="J182" s="10">
        <v>385900000</v>
      </c>
      <c r="L182" s="10">
        <v>135000000</v>
      </c>
      <c r="M182" s="13"/>
      <c r="N182" s="13"/>
      <c r="O182" s="13"/>
      <c r="P182" s="13"/>
    </row>
    <row r="183" spans="1:16" ht="31" x14ac:dyDescent="0.35">
      <c r="A183" s="5">
        <v>182</v>
      </c>
      <c r="B183" s="6" t="s">
        <v>192</v>
      </c>
      <c r="C183" s="7">
        <v>50</v>
      </c>
      <c r="D183" s="7" t="str">
        <f>VLOOKUP(C183,'5-Genre Codes'!$A$1:$B$11,2,FALSE)</f>
        <v>Historical Fiction</v>
      </c>
      <c r="E183" s="8">
        <v>2011</v>
      </c>
      <c r="F183" s="6">
        <v>17335</v>
      </c>
      <c r="G183" s="6" t="str">
        <f>VLOOKUP(F183,'4-Actor Codes'!$A$1:$B$622,2,FALSE)</f>
        <v>Robert Downey, Jr.</v>
      </c>
      <c r="H183" s="8" t="s">
        <v>13</v>
      </c>
      <c r="I183" s="9">
        <v>186848418</v>
      </c>
      <c r="J183" s="10">
        <v>348815025</v>
      </c>
      <c r="L183" s="10">
        <v>125000000</v>
      </c>
      <c r="M183" s="13"/>
      <c r="N183" s="13"/>
      <c r="O183" s="13"/>
      <c r="P183" s="13"/>
    </row>
    <row r="184" spans="1:16" ht="31" x14ac:dyDescent="0.35">
      <c r="A184" s="5">
        <v>183</v>
      </c>
      <c r="B184" s="6" t="s">
        <v>193</v>
      </c>
      <c r="C184" s="7">
        <v>80</v>
      </c>
      <c r="D184" s="7" t="str">
        <f>VLOOKUP(C184,'5-Genre Codes'!$A$1:$B$11,2,FALSE)</f>
        <v>Science Fiction</v>
      </c>
      <c r="E184" s="8">
        <v>2004</v>
      </c>
      <c r="F184" s="6">
        <v>10060</v>
      </c>
      <c r="G184" s="6" t="str">
        <f>VLOOKUP(F184,'4-Actor Codes'!$A$1:$B$622,2,FALSE)</f>
        <v>Adrian Lester</v>
      </c>
      <c r="H184" s="8" t="s">
        <v>10</v>
      </c>
      <c r="I184" s="9">
        <v>186740799</v>
      </c>
      <c r="J184" s="10">
        <v>369578651</v>
      </c>
      <c r="L184" s="10">
        <v>125000000</v>
      </c>
      <c r="M184" s="13"/>
      <c r="N184" s="13"/>
      <c r="O184" s="13"/>
      <c r="P184" s="13"/>
    </row>
    <row r="185" spans="1:16" ht="31" x14ac:dyDescent="0.35">
      <c r="A185" s="5">
        <v>184</v>
      </c>
      <c r="B185" s="6" t="s">
        <v>194</v>
      </c>
      <c r="C185" s="7">
        <v>10</v>
      </c>
      <c r="D185" s="7" t="str">
        <f>VLOOKUP(C185,'5-Genre Codes'!$A$1:$B$11,2,FALSE)</f>
        <v>Contemporary Fiction</v>
      </c>
      <c r="E185" s="8">
        <v>2005</v>
      </c>
      <c r="F185" s="6">
        <v>10930</v>
      </c>
      <c r="G185" s="6" t="str">
        <f>VLOOKUP(F185,'4-Actor Codes'!$A$1:$B$622,2,FALSE)</f>
        <v>Brad Pitt</v>
      </c>
      <c r="H185" s="8" t="s">
        <v>10</v>
      </c>
      <c r="I185" s="9">
        <v>186336279</v>
      </c>
      <c r="J185" s="10">
        <v>299787811</v>
      </c>
      <c r="L185" s="10">
        <v>110000000</v>
      </c>
      <c r="M185" s="13"/>
      <c r="N185" s="13"/>
      <c r="O185" s="13"/>
      <c r="P185" s="13"/>
    </row>
    <row r="186" spans="1:16" x14ac:dyDescent="0.35">
      <c r="A186" s="5">
        <v>185</v>
      </c>
      <c r="B186" s="6" t="s">
        <v>195</v>
      </c>
      <c r="C186" s="7">
        <v>40</v>
      </c>
      <c r="D186" s="7" t="str">
        <f>VLOOKUP(C186,'5-Genre Codes'!$A$1:$B$11,2,FALSE)</f>
        <v>Fantasy</v>
      </c>
      <c r="E186" s="8">
        <v>1937</v>
      </c>
      <c r="F186" s="6">
        <v>10000</v>
      </c>
      <c r="G186" s="6" t="str">
        <f>VLOOKUP(F186,'4-Actor Codes'!$A$1:$B$622,2,FALSE)</f>
        <v>Unidentified</v>
      </c>
      <c r="H186" s="8" t="s">
        <v>10</v>
      </c>
      <c r="I186" s="9">
        <v>184925485</v>
      </c>
      <c r="J186" s="10">
        <v>0</v>
      </c>
      <c r="L186" s="10">
        <v>1488000</v>
      </c>
      <c r="M186" s="13"/>
      <c r="N186" s="13"/>
      <c r="O186" s="13"/>
      <c r="P186" s="13"/>
    </row>
    <row r="187" spans="1:16" ht="31" x14ac:dyDescent="0.35">
      <c r="A187" s="5">
        <v>186</v>
      </c>
      <c r="B187" s="6" t="s">
        <v>196</v>
      </c>
      <c r="C187" s="7">
        <v>90</v>
      </c>
      <c r="D187" s="7" t="str">
        <f>VLOOKUP(C187,'5-Genre Codes'!$A$1:$B$11,2,FALSE)</f>
        <v>Super Hero</v>
      </c>
      <c r="E187" s="8">
        <v>1995</v>
      </c>
      <c r="F187" s="6">
        <v>14935</v>
      </c>
      <c r="G187" s="6" t="str">
        <f>VLOOKUP(F187,'4-Actor Codes'!$A$1:$B$622,2,FALSE)</f>
        <v>Kimberly Scott</v>
      </c>
      <c r="H187" s="8" t="s">
        <v>13</v>
      </c>
      <c r="I187" s="9">
        <v>183997904</v>
      </c>
      <c r="J187" s="10">
        <v>152498032</v>
      </c>
      <c r="L187" s="10">
        <v>100000000</v>
      </c>
      <c r="M187" s="13"/>
      <c r="N187" s="13"/>
      <c r="O187" s="13"/>
      <c r="P187" s="13"/>
    </row>
    <row r="188" spans="1:16" ht="31" x14ac:dyDescent="0.35">
      <c r="A188" s="5">
        <v>187</v>
      </c>
      <c r="B188" s="6" t="s">
        <v>197</v>
      </c>
      <c r="C188" s="7">
        <v>10</v>
      </c>
      <c r="D188" s="7" t="str">
        <f>VLOOKUP(C188,'5-Genre Codes'!$A$1:$B$11,2,FALSE)</f>
        <v>Contemporary Fiction</v>
      </c>
      <c r="E188" s="8">
        <v>2014</v>
      </c>
      <c r="F188" s="6">
        <v>10390</v>
      </c>
      <c r="G188" s="6" t="str">
        <f>VLOOKUP(F188,'4-Actor Codes'!$A$1:$B$622,2,FALSE)</f>
        <v>Anna Kendrick</v>
      </c>
      <c r="H188" s="8" t="s">
        <v>13</v>
      </c>
      <c r="I188" s="9">
        <v>183785415</v>
      </c>
      <c r="J188" s="10">
        <v>102847847</v>
      </c>
      <c r="L188" s="10">
        <v>29000000</v>
      </c>
      <c r="M188" s="13"/>
      <c r="N188" s="13"/>
      <c r="O188" s="13"/>
      <c r="P188" s="13"/>
    </row>
    <row r="189" spans="1:16" ht="31" x14ac:dyDescent="0.35">
      <c r="A189" s="5">
        <v>188</v>
      </c>
      <c r="B189" s="6" t="s">
        <v>198</v>
      </c>
      <c r="C189" s="7">
        <v>10</v>
      </c>
      <c r="D189" s="7" t="str">
        <f>VLOOKUP(C189,'5-Genre Codes'!$A$1:$B$11,2,FALSE)</f>
        <v>Contemporary Fiction</v>
      </c>
      <c r="E189" s="8">
        <v>2001</v>
      </c>
      <c r="F189" s="6">
        <v>12925</v>
      </c>
      <c r="G189" s="6" t="str">
        <f>VLOOKUP(F189,'4-Actor Codes'!$A$1:$B$622,2,FALSE)</f>
        <v>George Clooney</v>
      </c>
      <c r="H189" s="8" t="s">
        <v>10</v>
      </c>
      <c r="I189" s="9">
        <v>183417150</v>
      </c>
      <c r="J189" s="10">
        <v>267311379</v>
      </c>
      <c r="L189" s="10">
        <v>85000000</v>
      </c>
      <c r="M189" s="13"/>
      <c r="N189" s="13"/>
      <c r="O189" s="13"/>
      <c r="P189" s="13"/>
    </row>
    <row r="190" spans="1:16" ht="31" x14ac:dyDescent="0.35">
      <c r="A190" s="5">
        <v>189</v>
      </c>
      <c r="B190" s="6" t="s">
        <v>199</v>
      </c>
      <c r="C190" s="7">
        <v>10</v>
      </c>
      <c r="D190" s="7" t="str">
        <f>VLOOKUP(C190,'5-Genre Codes'!$A$1:$B$11,2,FALSE)</f>
        <v>Contemporary Fiction</v>
      </c>
      <c r="E190" s="8">
        <v>2007</v>
      </c>
      <c r="F190" s="6">
        <v>11785</v>
      </c>
      <c r="G190" s="6" t="str">
        <f>VLOOKUP(F190,'4-Actor Codes'!$A$1:$B$622,2,FALSE)</f>
        <v>Dan Castellaneta</v>
      </c>
      <c r="H190" s="8" t="s">
        <v>10</v>
      </c>
      <c r="I190" s="9">
        <v>183135014</v>
      </c>
      <c r="J190" s="10">
        <v>343936008</v>
      </c>
      <c r="L190" s="10">
        <v>72500000</v>
      </c>
      <c r="M190" s="13"/>
      <c r="N190" s="13"/>
      <c r="O190" s="13"/>
      <c r="P190" s="13"/>
    </row>
    <row r="191" spans="1:16" ht="31" x14ac:dyDescent="0.35">
      <c r="A191" s="5">
        <v>190</v>
      </c>
      <c r="B191" s="6" t="s">
        <v>200</v>
      </c>
      <c r="C191" s="7">
        <v>10</v>
      </c>
      <c r="D191" s="7" t="str">
        <f>VLOOKUP(C191,'5-Genre Codes'!$A$1:$B$11,2,FALSE)</f>
        <v>Contemporary Fiction</v>
      </c>
      <c r="E191" s="8">
        <v>2000</v>
      </c>
      <c r="F191" s="6">
        <v>15865</v>
      </c>
      <c r="G191" s="6" t="str">
        <f>VLOOKUP(F191,'4-Actor Codes'!$A$1:$B$622,2,FALSE)</f>
        <v>Mel Gibson</v>
      </c>
      <c r="H191" s="8" t="s">
        <v>10</v>
      </c>
      <c r="I191" s="9">
        <v>182805123</v>
      </c>
      <c r="J191" s="10">
        <v>191300000</v>
      </c>
      <c r="L191" s="10">
        <v>65000000</v>
      </c>
      <c r="M191" s="13"/>
      <c r="N191" s="13"/>
      <c r="O191" s="13"/>
      <c r="P191" s="13"/>
    </row>
    <row r="192" spans="1:16" ht="31" x14ac:dyDescent="0.35">
      <c r="A192" s="5">
        <v>191</v>
      </c>
      <c r="B192" s="6" t="s">
        <v>201</v>
      </c>
      <c r="C192" s="7">
        <v>20</v>
      </c>
      <c r="D192" s="7" t="str">
        <f>VLOOKUP(C192,'5-Genre Codes'!$A$1:$B$11,2,FALSE)</f>
        <v>Dramatization</v>
      </c>
      <c r="E192" s="8">
        <v>2000</v>
      </c>
      <c r="F192" s="6">
        <v>12925</v>
      </c>
      <c r="G192" s="6" t="str">
        <f>VLOOKUP(F192,'4-Actor Codes'!$A$1:$B$622,2,FALSE)</f>
        <v>George Clooney</v>
      </c>
      <c r="H192" s="8" t="s">
        <v>10</v>
      </c>
      <c r="I192" s="9">
        <v>182618434</v>
      </c>
      <c r="J192" s="10">
        <v>146093000</v>
      </c>
      <c r="L192" s="10">
        <v>120000000</v>
      </c>
      <c r="M192" s="13"/>
      <c r="N192" s="13"/>
      <c r="O192" s="13"/>
      <c r="P192" s="13"/>
    </row>
    <row r="193" spans="1:16" ht="31" x14ac:dyDescent="0.35">
      <c r="A193" s="5">
        <v>192</v>
      </c>
      <c r="B193" s="6" t="s">
        <v>202</v>
      </c>
      <c r="C193" s="7">
        <v>20</v>
      </c>
      <c r="D193" s="7" t="str">
        <f>VLOOKUP(C193,'5-Genre Codes'!$A$1:$B$11,2,FALSE)</f>
        <v>Dramatization</v>
      </c>
      <c r="E193" s="8">
        <v>2011</v>
      </c>
      <c r="F193" s="6">
        <v>11845</v>
      </c>
      <c r="G193" s="6" t="str">
        <f>VLOOKUP(F193,'4-Actor Codes'!$A$1:$B$622,2,FALSE)</f>
        <v>Daniel Day-Lewis</v>
      </c>
      <c r="H193" s="8" t="s">
        <v>10</v>
      </c>
      <c r="I193" s="9">
        <v>182207973</v>
      </c>
      <c r="J193" s="10">
        <v>91138308</v>
      </c>
      <c r="L193" s="10">
        <v>65000000</v>
      </c>
      <c r="M193" s="13"/>
      <c r="N193" s="13"/>
      <c r="O193" s="13"/>
      <c r="P193" s="13"/>
    </row>
    <row r="194" spans="1:16" ht="31" x14ac:dyDescent="0.35">
      <c r="A194" s="5">
        <v>193</v>
      </c>
      <c r="B194" s="6" t="s">
        <v>203</v>
      </c>
      <c r="C194" s="7">
        <v>50</v>
      </c>
      <c r="D194" s="7" t="str">
        <f>VLOOKUP(C194,'5-Genre Codes'!$A$1:$B$11,2,FALSE)</f>
        <v>Historical Fiction</v>
      </c>
      <c r="E194" s="8">
        <v>1978</v>
      </c>
      <c r="F194" s="6">
        <v>14320</v>
      </c>
      <c r="G194" s="6" t="str">
        <f>VLOOKUP(F194,'4-Actor Codes'!$A$1:$B$622,2,FALSE)</f>
        <v>John Travolta</v>
      </c>
      <c r="H194" s="8" t="s">
        <v>10</v>
      </c>
      <c r="I194" s="9">
        <v>181813770</v>
      </c>
      <c r="J194" s="10">
        <v>205700000</v>
      </c>
      <c r="L194" s="10">
        <v>6000000</v>
      </c>
      <c r="M194" s="13"/>
      <c r="N194" s="13"/>
      <c r="O194" s="13"/>
      <c r="P194" s="13"/>
    </row>
    <row r="195" spans="1:16" ht="31" x14ac:dyDescent="0.35">
      <c r="A195" s="5">
        <v>194</v>
      </c>
      <c r="B195" s="6" t="s">
        <v>204</v>
      </c>
      <c r="C195" s="7">
        <v>10</v>
      </c>
      <c r="D195" s="7" t="str">
        <f>VLOOKUP(C195,'5-Genre Codes'!$A$1:$B$11,2,FALSE)</f>
        <v>Contemporary Fiction</v>
      </c>
      <c r="E195" s="8">
        <v>1997</v>
      </c>
      <c r="F195" s="6">
        <v>14155</v>
      </c>
      <c r="G195" s="6" t="str">
        <f>VLOOKUP(F195,'4-Actor Codes'!$A$1:$B$622,2,FALSE)</f>
        <v>Jim Carrey</v>
      </c>
      <c r="H195" s="8" t="s">
        <v>10</v>
      </c>
      <c r="I195" s="9">
        <v>181395380</v>
      </c>
      <c r="J195" s="10">
        <v>121300000</v>
      </c>
      <c r="L195" s="10">
        <v>45000000</v>
      </c>
      <c r="M195" s="13"/>
      <c r="N195" s="13"/>
      <c r="O195" s="13"/>
      <c r="P195" s="13"/>
    </row>
    <row r="196" spans="1:16" ht="31" x14ac:dyDescent="0.35">
      <c r="A196" s="5">
        <v>195</v>
      </c>
      <c r="B196" s="6" t="s">
        <v>205</v>
      </c>
      <c r="C196" s="7">
        <v>80</v>
      </c>
      <c r="D196" s="7" t="str">
        <f>VLOOKUP(C196,'5-Genre Codes'!$A$1:$B$11,2,FALSE)</f>
        <v>Science Fiction</v>
      </c>
      <c r="E196" s="8">
        <v>2001</v>
      </c>
      <c r="F196" s="6">
        <v>18085</v>
      </c>
      <c r="G196" s="6" t="str">
        <f>VLOOKUP(F196,'4-Actor Codes'!$A$1:$B$622,2,FALSE)</f>
        <v>Sonia Jackson</v>
      </c>
      <c r="H196" s="8" t="s">
        <v>13</v>
      </c>
      <c r="I196" s="9">
        <v>181166115</v>
      </c>
      <c r="J196" s="10">
        <v>184733885</v>
      </c>
      <c r="L196" s="10">
        <v>93000000</v>
      </c>
      <c r="M196" s="13"/>
      <c r="N196" s="13"/>
      <c r="O196" s="13"/>
      <c r="P196" s="13"/>
    </row>
    <row r="197" spans="1:16" ht="31" x14ac:dyDescent="0.35">
      <c r="A197" s="5">
        <v>196</v>
      </c>
      <c r="B197" s="6" t="s">
        <v>206</v>
      </c>
      <c r="C197" s="7">
        <v>90</v>
      </c>
      <c r="D197" s="7" t="str">
        <f>VLOOKUP(C197,'5-Genre Codes'!$A$1:$B$11,2,FALSE)</f>
        <v>Super Hero</v>
      </c>
      <c r="E197" s="8">
        <v>2011</v>
      </c>
      <c r="F197" s="6">
        <v>14785</v>
      </c>
      <c r="G197" s="6" t="str">
        <f>VLOOKUP(F197,'4-Actor Codes'!$A$1:$B$622,2,FALSE)</f>
        <v>Kelly Hawthorne</v>
      </c>
      <c r="H197" s="8" t="s">
        <v>10</v>
      </c>
      <c r="I197" s="9">
        <v>181030624</v>
      </c>
      <c r="J197" s="10">
        <v>268295994</v>
      </c>
      <c r="L197" s="10">
        <v>150000000</v>
      </c>
      <c r="M197" s="13"/>
      <c r="N197" s="13"/>
      <c r="O197" s="13"/>
      <c r="P197" s="13"/>
    </row>
    <row r="198" spans="1:16" ht="31" x14ac:dyDescent="0.35">
      <c r="A198" s="5">
        <v>197</v>
      </c>
      <c r="B198" s="6" t="s">
        <v>207</v>
      </c>
      <c r="C198" s="7">
        <v>10</v>
      </c>
      <c r="D198" s="7" t="str">
        <f>VLOOKUP(C198,'5-Genre Codes'!$A$1:$B$11,2,FALSE)</f>
        <v>Contemporary Fiction</v>
      </c>
      <c r="E198" s="8">
        <v>1996</v>
      </c>
      <c r="F198" s="6">
        <v>14380</v>
      </c>
      <c r="G198" s="6" t="str">
        <f>VLOOKUP(F198,'4-Actor Codes'!$A$1:$B$622,2,FALSE)</f>
        <v>Jon Voight</v>
      </c>
      <c r="H198" s="8" t="s">
        <v>10</v>
      </c>
      <c r="I198" s="9">
        <v>180891004</v>
      </c>
      <c r="J198" s="10">
        <v>276716108</v>
      </c>
      <c r="L198" s="10">
        <v>80000000</v>
      </c>
      <c r="M198" s="13"/>
      <c r="N198" s="13"/>
      <c r="O198" s="13"/>
      <c r="P198" s="13"/>
    </row>
    <row r="199" spans="1:16" ht="31" x14ac:dyDescent="0.35">
      <c r="A199" s="5">
        <v>198</v>
      </c>
      <c r="B199" s="6" t="s">
        <v>208</v>
      </c>
      <c r="C199" s="7">
        <v>80</v>
      </c>
      <c r="D199" s="7" t="str">
        <f>VLOOKUP(C199,'5-Genre Codes'!$A$1:$B$11,2,FALSE)</f>
        <v>Science Fiction</v>
      </c>
      <c r="E199" s="8">
        <v>2001</v>
      </c>
      <c r="F199" s="6">
        <v>15565</v>
      </c>
      <c r="G199" s="6" t="str">
        <f>VLOOKUP(F199,'4-Actor Codes'!$A$1:$B$622,2,FALSE)</f>
        <v>Mark Wahlberg</v>
      </c>
      <c r="H199" s="8" t="s">
        <v>10</v>
      </c>
      <c r="I199" s="9">
        <v>180011740</v>
      </c>
      <c r="J199" s="10">
        <v>182200000</v>
      </c>
      <c r="L199" s="10">
        <v>100000000</v>
      </c>
      <c r="M199" s="13"/>
      <c r="N199" s="13"/>
      <c r="O199" s="13"/>
      <c r="P199" s="13"/>
    </row>
    <row r="200" spans="1:16" ht="31" x14ac:dyDescent="0.35">
      <c r="A200" s="5">
        <v>199</v>
      </c>
      <c r="B200" s="6" t="s">
        <v>209</v>
      </c>
      <c r="C200" s="7">
        <v>60</v>
      </c>
      <c r="D200" s="7" t="str">
        <f>VLOOKUP(C200,'5-Genre Codes'!$A$1:$B$11,2,FALSE)</f>
        <v>Kids Fiction</v>
      </c>
      <c r="E200" s="8">
        <v>2008</v>
      </c>
      <c r="F200" s="6">
        <v>17665</v>
      </c>
      <c r="G200" s="6" t="str">
        <f>VLOOKUP(F200,'4-Actor Codes'!$A$1:$B$622,2,FALSE)</f>
        <v>Sacha Baron Cohen</v>
      </c>
      <c r="H200" s="8" t="s">
        <v>13</v>
      </c>
      <c r="I200" s="9">
        <v>180010950</v>
      </c>
      <c r="J200" s="10">
        <v>419505894</v>
      </c>
      <c r="L200" s="10">
        <v>150000000</v>
      </c>
      <c r="M200" s="13"/>
      <c r="N200" s="13"/>
      <c r="O200" s="13"/>
      <c r="P200" s="13"/>
    </row>
    <row r="201" spans="1:16" ht="31" x14ac:dyDescent="0.35">
      <c r="A201" s="5">
        <v>200</v>
      </c>
      <c r="B201" s="6" t="s">
        <v>210</v>
      </c>
      <c r="C201" s="7">
        <v>90</v>
      </c>
      <c r="D201" s="7" t="str">
        <f>VLOOKUP(C201,'5-Genre Codes'!$A$1:$B$11,2,FALSE)</f>
        <v>Super Hero</v>
      </c>
      <c r="E201" s="8">
        <v>2009</v>
      </c>
      <c r="F201" s="6">
        <v>13270</v>
      </c>
      <c r="G201" s="6" t="str">
        <f>VLOOKUP(F201,'4-Actor Codes'!$A$1:$B$622,2,FALSE)</f>
        <v>Hugh Jackman</v>
      </c>
      <c r="H201" s="8" t="s">
        <v>10</v>
      </c>
      <c r="I201" s="9">
        <v>179883157</v>
      </c>
      <c r="J201" s="10">
        <v>284000000</v>
      </c>
      <c r="L201" s="10">
        <v>165000000</v>
      </c>
      <c r="M201" s="13"/>
      <c r="N201" s="13"/>
      <c r="O201" s="13"/>
      <c r="P201" s="13"/>
    </row>
    <row r="202" spans="1:16" ht="31" x14ac:dyDescent="0.35">
      <c r="A202" s="5">
        <v>201</v>
      </c>
      <c r="B202" s="6" t="s">
        <v>211</v>
      </c>
      <c r="C202" s="7">
        <v>10</v>
      </c>
      <c r="D202" s="7" t="str">
        <f>VLOOKUP(C202,'5-Genre Codes'!$A$1:$B$11,2,FALSE)</f>
        <v>Contemporary Fiction</v>
      </c>
      <c r="E202" s="8">
        <v>1986</v>
      </c>
      <c r="F202" s="6">
        <v>18745</v>
      </c>
      <c r="G202" s="6" t="str">
        <f>VLOOKUP(F202,'4-Actor Codes'!$A$1:$B$622,2,FALSE)</f>
        <v>Tom Cruise</v>
      </c>
      <c r="H202" s="8" t="s">
        <v>10</v>
      </c>
      <c r="I202" s="9">
        <v>179800601</v>
      </c>
      <c r="J202" s="10">
        <v>177000000</v>
      </c>
      <c r="L202" s="10">
        <v>15000000</v>
      </c>
      <c r="M202" s="13"/>
      <c r="N202" s="13"/>
      <c r="O202" s="13"/>
      <c r="P202" s="13"/>
    </row>
    <row r="203" spans="1:16" x14ac:dyDescent="0.35">
      <c r="A203" s="5">
        <v>202</v>
      </c>
      <c r="B203" s="6" t="s">
        <v>212</v>
      </c>
      <c r="C203" s="7">
        <v>90</v>
      </c>
      <c r="D203" s="7" t="str">
        <f>VLOOKUP(C203,'5-Genre Codes'!$A$1:$B$11,2,FALSE)</f>
        <v>Super Hero</v>
      </c>
      <c r="E203" s="8">
        <v>2015</v>
      </c>
      <c r="F203" s="6">
        <v>16795</v>
      </c>
      <c r="G203" s="6" t="str">
        <f>VLOOKUP(F203,'4-Actor Codes'!$A$1:$B$622,2,FALSE)</f>
        <v>Paul Rudd</v>
      </c>
      <c r="H203" s="8" t="s">
        <v>10</v>
      </c>
      <c r="I203" s="9">
        <v>179750975</v>
      </c>
      <c r="J203" s="10">
        <v>337900000</v>
      </c>
      <c r="L203" s="10">
        <v>130000000</v>
      </c>
      <c r="M203" s="13"/>
      <c r="N203" s="13"/>
      <c r="O203" s="13"/>
      <c r="P203" s="13"/>
    </row>
    <row r="204" spans="1:16" x14ac:dyDescent="0.35">
      <c r="A204" s="5">
        <v>203</v>
      </c>
      <c r="B204" s="6" t="s">
        <v>213</v>
      </c>
      <c r="C204" s="7">
        <v>80</v>
      </c>
      <c r="D204" s="7" t="str">
        <f>VLOOKUP(C204,'5-Genre Codes'!$A$1:$B$11,2,FALSE)</f>
        <v>Science Fiction</v>
      </c>
      <c r="E204" s="8">
        <v>2011</v>
      </c>
      <c r="F204" s="6">
        <v>10795</v>
      </c>
      <c r="G204" s="6" t="str">
        <f>VLOOKUP(F204,'4-Actor Codes'!$A$1:$B$622,2,FALSE)</f>
        <v>Bill Hader</v>
      </c>
      <c r="H204" s="8" t="s">
        <v>13</v>
      </c>
      <c r="I204" s="9">
        <v>179020854</v>
      </c>
      <c r="J204" s="10">
        <v>475192631</v>
      </c>
      <c r="L204" s="10">
        <v>215000000</v>
      </c>
      <c r="M204" s="13"/>
      <c r="N204" s="13"/>
      <c r="O204" s="13"/>
      <c r="P204" s="13"/>
    </row>
    <row r="205" spans="1:16" ht="31" x14ac:dyDescent="0.35">
      <c r="A205" s="5">
        <v>204</v>
      </c>
      <c r="B205" s="6" t="s">
        <v>214</v>
      </c>
      <c r="C205" s="7">
        <v>10</v>
      </c>
      <c r="D205" s="7" t="str">
        <f>VLOOKUP(C205,'5-Genre Codes'!$A$1:$B$11,2,FALSE)</f>
        <v>Contemporary Fiction</v>
      </c>
      <c r="E205" s="8">
        <v>2005</v>
      </c>
      <c r="F205" s="6">
        <v>16945</v>
      </c>
      <c r="G205" s="6" t="str">
        <f>VLOOKUP(F205,'4-Actor Codes'!$A$1:$B$622,2,FALSE)</f>
        <v>Philip Bosco</v>
      </c>
      <c r="H205" s="8" t="s">
        <v>10</v>
      </c>
      <c r="I205" s="9">
        <v>177784257</v>
      </c>
      <c r="J205" s="10">
        <v>189000000</v>
      </c>
      <c r="L205" s="10">
        <v>55000000</v>
      </c>
      <c r="M205" s="13"/>
      <c r="N205" s="13"/>
      <c r="O205" s="13"/>
      <c r="P205" s="13"/>
    </row>
    <row r="206" spans="1:16" x14ac:dyDescent="0.35">
      <c r="A206" s="5">
        <v>205</v>
      </c>
      <c r="B206" s="6" t="s">
        <v>215</v>
      </c>
      <c r="C206" s="7">
        <v>60</v>
      </c>
      <c r="D206" s="7" t="str">
        <f>VLOOKUP(C206,'5-Genre Codes'!$A$1:$B$11,2,FALSE)</f>
        <v>Kids Fiction</v>
      </c>
      <c r="E206" s="8">
        <v>2014</v>
      </c>
      <c r="F206" s="6">
        <v>14170</v>
      </c>
      <c r="G206" s="6" t="str">
        <f>VLOOKUP(F206,'4-Actor Codes'!$A$1:$B$622,2,FALSE)</f>
        <v>Jim Parsons</v>
      </c>
      <c r="H206" s="8" t="s">
        <v>10</v>
      </c>
      <c r="I206" s="9">
        <v>177397510</v>
      </c>
      <c r="J206" s="10">
        <v>208688443</v>
      </c>
      <c r="L206" s="10">
        <v>130000000</v>
      </c>
      <c r="M206" s="13"/>
      <c r="N206" s="13"/>
      <c r="O206" s="13"/>
      <c r="P206" s="13"/>
    </row>
    <row r="207" spans="1:16" x14ac:dyDescent="0.35">
      <c r="A207" s="5">
        <v>206</v>
      </c>
      <c r="B207" s="6" t="s">
        <v>216</v>
      </c>
      <c r="C207" s="7">
        <v>40</v>
      </c>
      <c r="D207" s="7" t="str">
        <f>VLOOKUP(C207,'5-Genre Codes'!$A$1:$B$11,2,FALSE)</f>
        <v>Fantasy</v>
      </c>
      <c r="E207" s="8">
        <v>2009</v>
      </c>
      <c r="F207" s="6">
        <v>10660</v>
      </c>
      <c r="G207" s="6" t="str">
        <f>VLOOKUP(F207,'4-Actor Codes'!$A$1:$B$622,2,FALSE)</f>
        <v>Ben Stiller</v>
      </c>
      <c r="H207" s="8" t="s">
        <v>13</v>
      </c>
      <c r="I207" s="9">
        <v>177243721</v>
      </c>
      <c r="J207" s="10">
        <v>224987342</v>
      </c>
      <c r="L207" s="10">
        <v>150000000</v>
      </c>
      <c r="M207" s="13"/>
      <c r="N207" s="13"/>
      <c r="O207" s="13"/>
      <c r="P207" s="13"/>
    </row>
    <row r="208" spans="1:16" x14ac:dyDescent="0.35">
      <c r="A208" s="5">
        <v>207</v>
      </c>
      <c r="B208" s="6" t="s">
        <v>217</v>
      </c>
      <c r="C208" s="7">
        <v>40</v>
      </c>
      <c r="D208" s="7" t="str">
        <f>VLOOKUP(C208,'5-Genre Codes'!$A$1:$B$11,2,FALSE)</f>
        <v>Fantasy</v>
      </c>
      <c r="E208" s="8">
        <v>2013</v>
      </c>
      <c r="F208" s="6">
        <v>13870</v>
      </c>
      <c r="G208" s="6" t="str">
        <f>VLOOKUP(F208,'4-Actor Codes'!$A$1:$B$622,2,FALSE)</f>
        <v>Jay Baruchel</v>
      </c>
      <c r="H208" s="8" t="s">
        <v>13</v>
      </c>
      <c r="I208" s="9">
        <v>177002924</v>
      </c>
      <c r="J208" s="10">
        <v>439100000</v>
      </c>
      <c r="L208" s="10">
        <v>145000000</v>
      </c>
      <c r="M208" s="13"/>
      <c r="N208" s="13"/>
      <c r="O208" s="13"/>
      <c r="P208" s="13"/>
    </row>
    <row r="209" spans="1:16" ht="31" x14ac:dyDescent="0.35">
      <c r="A209" s="5">
        <v>208</v>
      </c>
      <c r="B209" s="6" t="s">
        <v>218</v>
      </c>
      <c r="C209" s="7">
        <v>80</v>
      </c>
      <c r="D209" s="7" t="str">
        <f>VLOOKUP(C209,'5-Genre Codes'!$A$1:$B$11,2,FALSE)</f>
        <v>Science Fiction</v>
      </c>
      <c r="E209" s="8">
        <v>2011</v>
      </c>
      <c r="F209" s="6">
        <v>13615</v>
      </c>
      <c r="G209" s="6" t="str">
        <f>VLOOKUP(F209,'4-Actor Codes'!$A$1:$B$622,2,FALSE)</f>
        <v>James Franco</v>
      </c>
      <c r="H209" s="8" t="s">
        <v>10</v>
      </c>
      <c r="I209" s="9">
        <v>176760185</v>
      </c>
      <c r="J209" s="10">
        <v>306100000</v>
      </c>
      <c r="L209" s="10">
        <v>93000000</v>
      </c>
      <c r="M209" s="13"/>
      <c r="N209" s="13"/>
      <c r="O209" s="13"/>
      <c r="P209" s="13"/>
    </row>
    <row r="210" spans="1:16" ht="31" x14ac:dyDescent="0.35">
      <c r="A210" s="5">
        <v>209</v>
      </c>
      <c r="B210" s="6" t="s">
        <v>219</v>
      </c>
      <c r="C210" s="7">
        <v>90</v>
      </c>
      <c r="D210" s="7" t="str">
        <f>VLOOKUP(C210,'5-Genre Codes'!$A$1:$B$11,2,FALSE)</f>
        <v>Super Hero</v>
      </c>
      <c r="E210" s="8">
        <v>2011</v>
      </c>
      <c r="F210" s="6">
        <v>13285</v>
      </c>
      <c r="G210" s="6" t="str">
        <f>VLOOKUP(F210,'4-Actor Codes'!$A$1:$B$622,2,FALSE)</f>
        <v>Hugo Weaving</v>
      </c>
      <c r="H210" s="8" t="s">
        <v>10</v>
      </c>
      <c r="I210" s="9">
        <v>176654505</v>
      </c>
      <c r="J210" s="10">
        <v>193915271</v>
      </c>
      <c r="L210" s="10">
        <v>140000000</v>
      </c>
      <c r="M210" s="13"/>
      <c r="N210" s="13"/>
      <c r="O210" s="13"/>
      <c r="P210" s="13"/>
    </row>
    <row r="211" spans="1:16" ht="31" x14ac:dyDescent="0.35">
      <c r="A211" s="5">
        <v>210</v>
      </c>
      <c r="B211" s="6" t="s">
        <v>220</v>
      </c>
      <c r="C211" s="7">
        <v>10</v>
      </c>
      <c r="D211" s="7" t="str">
        <f>VLOOKUP(C211,'5-Genre Codes'!$A$1:$B$11,2,FALSE)</f>
        <v>Contemporary Fiction</v>
      </c>
      <c r="E211" s="8">
        <v>2009</v>
      </c>
      <c r="F211" s="6">
        <v>18445</v>
      </c>
      <c r="G211" s="6" t="str">
        <f>VLOOKUP(F211,'4-Actor Codes'!$A$1:$B$622,2,FALSE)</f>
        <v>Taraji P. Henson</v>
      </c>
      <c r="H211" s="8" t="s">
        <v>10</v>
      </c>
      <c r="I211" s="9">
        <v>176591618</v>
      </c>
      <c r="J211" s="10">
        <v>175183320</v>
      </c>
      <c r="L211" s="10">
        <v>40000000</v>
      </c>
      <c r="M211" s="13"/>
      <c r="N211" s="13"/>
      <c r="O211" s="13"/>
      <c r="P211" s="13"/>
    </row>
    <row r="212" spans="1:16" ht="31" x14ac:dyDescent="0.35">
      <c r="A212" s="5">
        <v>211</v>
      </c>
      <c r="B212" s="6" t="s">
        <v>221</v>
      </c>
      <c r="C212" s="7">
        <v>10</v>
      </c>
      <c r="D212" s="7" t="str">
        <f>VLOOKUP(C212,'5-Genre Codes'!$A$1:$B$11,2,FALSE)</f>
        <v>Contemporary Fiction</v>
      </c>
      <c r="E212" s="8">
        <v>1998</v>
      </c>
      <c r="F212" s="6">
        <v>19075</v>
      </c>
      <c r="G212" s="6" t="str">
        <f>VLOOKUP(F212,'4-Actor Codes'!$A$1:$B$622,2,FALSE)</f>
        <v>W. Earl Brown</v>
      </c>
      <c r="H212" s="8" t="s">
        <v>10</v>
      </c>
      <c r="I212" s="9">
        <v>176483808</v>
      </c>
      <c r="J212" s="10">
        <v>183615348</v>
      </c>
      <c r="L212" s="10">
        <v>22000000</v>
      </c>
      <c r="M212" s="13"/>
      <c r="N212" s="13"/>
      <c r="O212" s="13"/>
      <c r="P212" s="13"/>
    </row>
    <row r="213" spans="1:16" ht="31" x14ac:dyDescent="0.35">
      <c r="A213" s="5">
        <v>212</v>
      </c>
      <c r="B213" s="6" t="s">
        <v>222</v>
      </c>
      <c r="C213" s="7">
        <v>60</v>
      </c>
      <c r="D213" s="7" t="str">
        <f>VLOOKUP(C213,'5-Genre Codes'!$A$1:$B$11,2,FALSE)</f>
        <v>Kids Fiction</v>
      </c>
      <c r="E213" s="8">
        <v>2002</v>
      </c>
      <c r="F213" s="6">
        <v>18190</v>
      </c>
      <c r="G213" s="6" t="str">
        <f>VLOOKUP(F213,'4-Actor Codes'!$A$1:$B$622,2,FALSE)</f>
        <v>Stephen Root</v>
      </c>
      <c r="H213" s="8" t="s">
        <v>10</v>
      </c>
      <c r="I213" s="9">
        <v>176387405</v>
      </c>
      <c r="J213" s="10">
        <v>209728938</v>
      </c>
      <c r="L213" s="10">
        <v>65000000</v>
      </c>
      <c r="M213" s="13"/>
      <c r="N213" s="13"/>
      <c r="O213" s="13"/>
      <c r="P213" s="13"/>
    </row>
    <row r="214" spans="1:16" ht="31" x14ac:dyDescent="0.35">
      <c r="A214" s="5">
        <v>213</v>
      </c>
      <c r="B214" s="6" t="s">
        <v>223</v>
      </c>
      <c r="C214" s="7">
        <v>10</v>
      </c>
      <c r="D214" s="7" t="str">
        <f>VLOOKUP(C214,'5-Genre Codes'!$A$1:$B$11,2,FALSE)</f>
        <v>Contemporary Fiction</v>
      </c>
      <c r="E214" s="8">
        <v>1982</v>
      </c>
      <c r="F214" s="6">
        <v>11305</v>
      </c>
      <c r="G214" s="6" t="str">
        <f>VLOOKUP(F214,'4-Actor Codes'!$A$1:$B$622,2,FALSE)</f>
        <v>Charles Durning</v>
      </c>
      <c r="H214" s="8" t="s">
        <v>10</v>
      </c>
      <c r="I214" s="9">
        <v>176188774</v>
      </c>
      <c r="J214" s="10">
        <v>0</v>
      </c>
      <c r="L214" s="10">
        <v>15000000</v>
      </c>
      <c r="M214" s="13"/>
      <c r="N214" s="13"/>
      <c r="O214" s="13"/>
      <c r="P214" s="13"/>
    </row>
    <row r="215" spans="1:16" ht="31" x14ac:dyDescent="0.35">
      <c r="A215" s="5">
        <v>214</v>
      </c>
      <c r="B215" s="6" t="s">
        <v>224</v>
      </c>
      <c r="C215" s="7">
        <v>10</v>
      </c>
      <c r="D215" s="7" t="str">
        <f>VLOOKUP(C215,'5-Genre Codes'!$A$1:$B$11,2,FALSE)</f>
        <v>Contemporary Fiction</v>
      </c>
      <c r="E215" s="8">
        <v>2004</v>
      </c>
      <c r="F215" s="6">
        <v>11350</v>
      </c>
      <c r="G215" s="6" t="str">
        <f>VLOOKUP(F215,'4-Actor Codes'!$A$1:$B$622,2,FALSE)</f>
        <v>Chris Cooper</v>
      </c>
      <c r="H215" s="8" t="s">
        <v>13</v>
      </c>
      <c r="I215" s="9">
        <v>176087450</v>
      </c>
      <c r="J215" s="10">
        <v>112500000</v>
      </c>
      <c r="L215" s="10">
        <v>85000000</v>
      </c>
      <c r="M215" s="13"/>
      <c r="N215" s="13"/>
      <c r="O215" s="13"/>
      <c r="P215" s="13"/>
    </row>
    <row r="216" spans="1:16" ht="31" x14ac:dyDescent="0.35">
      <c r="A216" s="5">
        <v>215</v>
      </c>
      <c r="B216" s="6" t="s">
        <v>225</v>
      </c>
      <c r="C216" s="7">
        <v>50</v>
      </c>
      <c r="D216" s="7" t="str">
        <f>VLOOKUP(C216,'5-Genre Codes'!$A$1:$B$11,2,FALSE)</f>
        <v>Historical Fiction</v>
      </c>
      <c r="E216" s="8">
        <v>1990</v>
      </c>
      <c r="F216" s="6">
        <v>16120</v>
      </c>
      <c r="G216" s="6" t="str">
        <f>VLOOKUP(F216,'4-Actor Codes'!$A$1:$B$622,2,FALSE)</f>
        <v>Michael Spears</v>
      </c>
      <c r="H216" s="8" t="s">
        <v>10</v>
      </c>
      <c r="I216" s="9">
        <v>175293948</v>
      </c>
      <c r="J216" s="10">
        <v>239991158</v>
      </c>
      <c r="L216" s="10">
        <v>19000000</v>
      </c>
      <c r="M216" s="13"/>
      <c r="N216" s="13"/>
      <c r="O216" s="13"/>
      <c r="P216" s="13"/>
    </row>
    <row r="217" spans="1:16" ht="31" x14ac:dyDescent="0.35">
      <c r="A217" s="5">
        <v>216</v>
      </c>
      <c r="B217" s="6" t="s">
        <v>226</v>
      </c>
      <c r="C217" s="7">
        <v>10</v>
      </c>
      <c r="D217" s="7" t="str">
        <f>VLOOKUP(C217,'5-Genre Codes'!$A$1:$B$11,2,FALSE)</f>
        <v>Contemporary Fiction</v>
      </c>
      <c r="E217" s="8">
        <v>1990</v>
      </c>
      <c r="F217" s="6">
        <v>13195</v>
      </c>
      <c r="G217" s="6" t="str">
        <f>VLOOKUP(F217,'4-Actor Codes'!$A$1:$B$622,2,FALSE)</f>
        <v>Hector Elizondo</v>
      </c>
      <c r="H217" s="8" t="s">
        <v>10</v>
      </c>
      <c r="I217" s="9">
        <v>175119672</v>
      </c>
      <c r="J217" s="10">
        <v>254239604</v>
      </c>
      <c r="L217" s="10">
        <v>14000000</v>
      </c>
      <c r="M217" s="13"/>
      <c r="N217" s="13"/>
      <c r="O217" s="13"/>
      <c r="P217" s="13"/>
    </row>
    <row r="218" spans="1:16" ht="31" x14ac:dyDescent="0.35">
      <c r="A218" s="5">
        <v>217</v>
      </c>
      <c r="B218" s="6" t="s">
        <v>227</v>
      </c>
      <c r="C218" s="7">
        <v>50</v>
      </c>
      <c r="D218" s="7" t="str">
        <f>VLOOKUP(C218,'5-Genre Codes'!$A$1:$B$11,2,FALSE)</f>
        <v>Historical Fiction</v>
      </c>
      <c r="E218" s="8">
        <v>1984</v>
      </c>
      <c r="F218" s="6">
        <v>11530</v>
      </c>
      <c r="G218" s="6" t="str">
        <f>VLOOKUP(F218,'4-Actor Codes'!$A$1:$B$622,2,FALSE)</f>
        <v>Chua Kah Joo</v>
      </c>
      <c r="H218" s="8" t="s">
        <v>13</v>
      </c>
      <c r="I218" s="9">
        <v>175083524</v>
      </c>
      <c r="J218" s="10">
        <v>153200000</v>
      </c>
      <c r="L218" s="10">
        <v>28000000</v>
      </c>
      <c r="M218" s="13"/>
      <c r="N218" s="13"/>
      <c r="O218" s="13"/>
      <c r="P218" s="13"/>
    </row>
    <row r="219" spans="1:16" ht="31" x14ac:dyDescent="0.35">
      <c r="A219" s="5">
        <v>218</v>
      </c>
      <c r="B219" s="6" t="s">
        <v>228</v>
      </c>
      <c r="C219" s="7">
        <v>60</v>
      </c>
      <c r="D219" s="7" t="str">
        <f>VLOOKUP(C219,'5-Genre Codes'!$A$1:$B$11,2,FALSE)</f>
        <v>Kids Fiction</v>
      </c>
      <c r="E219" s="8">
        <v>2003</v>
      </c>
      <c r="F219" s="6">
        <v>16855</v>
      </c>
      <c r="G219" s="6" t="str">
        <f>VLOOKUP(F219,'4-Actor Codes'!$A$1:$B$622,2,FALSE)</f>
        <v>Peter Dinklage</v>
      </c>
      <c r="H219" s="8" t="s">
        <v>10</v>
      </c>
      <c r="I219" s="9">
        <v>173398518</v>
      </c>
      <c r="J219" s="10">
        <v>46837892</v>
      </c>
      <c r="L219" s="10">
        <v>32000000</v>
      </c>
      <c r="M219" s="13"/>
      <c r="N219" s="13"/>
      <c r="O219" s="13"/>
      <c r="P219" s="13"/>
    </row>
    <row r="220" spans="1:16" ht="31" x14ac:dyDescent="0.35">
      <c r="A220" s="5">
        <v>219</v>
      </c>
      <c r="B220" s="6" t="s">
        <v>229</v>
      </c>
      <c r="C220" s="7">
        <v>10</v>
      </c>
      <c r="D220" s="7" t="str">
        <f>VLOOKUP(C220,'5-Genre Codes'!$A$1:$B$11,2,FALSE)</f>
        <v>Contemporary Fiction</v>
      </c>
      <c r="E220" s="8">
        <v>2004</v>
      </c>
      <c r="F220" s="6">
        <v>11515</v>
      </c>
      <c r="G220" s="6" t="str">
        <f>VLOOKUP(F220,'4-Actor Codes'!$A$1:$B$622,2,FALSE)</f>
        <v>Christopher Plummer</v>
      </c>
      <c r="H220" s="8" t="s">
        <v>10</v>
      </c>
      <c r="I220" s="9">
        <v>173005002</v>
      </c>
      <c r="J220" s="10">
        <v>158318408</v>
      </c>
      <c r="L220" s="10">
        <v>100000000</v>
      </c>
      <c r="M220" s="13"/>
      <c r="N220" s="13"/>
      <c r="O220" s="13"/>
      <c r="P220" s="13"/>
    </row>
    <row r="221" spans="1:16" ht="31" x14ac:dyDescent="0.35">
      <c r="A221" s="5">
        <v>220</v>
      </c>
      <c r="B221" s="6" t="s">
        <v>230</v>
      </c>
      <c r="C221" s="7">
        <v>10</v>
      </c>
      <c r="D221" s="7" t="str">
        <f>VLOOKUP(C221,'5-Genre Codes'!$A$1:$B$11,2,FALSE)</f>
        <v>Contemporary Fiction</v>
      </c>
      <c r="E221" s="8">
        <v>1997</v>
      </c>
      <c r="F221" s="6">
        <v>18640</v>
      </c>
      <c r="G221" s="6" t="str">
        <f>VLOOKUP(F221,'4-Actor Codes'!$A$1:$B$622,2,FALSE)</f>
        <v>Timothy Carhart</v>
      </c>
      <c r="H221" s="8" t="s">
        <v>10</v>
      </c>
      <c r="I221" s="9">
        <v>172620724</v>
      </c>
      <c r="J221" s="10">
        <v>142311944</v>
      </c>
      <c r="L221" s="10">
        <v>85000000</v>
      </c>
      <c r="M221" s="13"/>
      <c r="N221" s="13"/>
      <c r="O221" s="13"/>
      <c r="P221" s="13"/>
    </row>
    <row r="222" spans="1:16" ht="31" x14ac:dyDescent="0.35">
      <c r="A222" s="5">
        <v>221</v>
      </c>
      <c r="B222" s="6" t="s">
        <v>231</v>
      </c>
      <c r="C222" s="7">
        <v>10</v>
      </c>
      <c r="D222" s="7" t="str">
        <f>VLOOKUP(C222,'5-Genre Codes'!$A$1:$B$11,2,FALSE)</f>
        <v>Contemporary Fiction</v>
      </c>
      <c r="E222" s="8">
        <v>1993</v>
      </c>
      <c r="F222" s="6">
        <v>16435</v>
      </c>
      <c r="G222" s="6" t="str">
        <f>VLOOKUP(F222,'4-Actor Codes'!$A$1:$B$622,2,FALSE)</f>
        <v>Nick Searcy</v>
      </c>
      <c r="H222" s="8" t="s">
        <v>10</v>
      </c>
      <c r="I222" s="9">
        <v>172494360</v>
      </c>
      <c r="J222" s="10">
        <v>169839557</v>
      </c>
      <c r="L222" s="10">
        <v>44000000</v>
      </c>
      <c r="M222" s="13"/>
      <c r="N222" s="13"/>
      <c r="O222" s="13"/>
      <c r="P222" s="13"/>
    </row>
    <row r="223" spans="1:16" ht="31" x14ac:dyDescent="0.35">
      <c r="A223" s="5">
        <v>222</v>
      </c>
      <c r="B223" s="6" t="s">
        <v>232</v>
      </c>
      <c r="C223" s="7">
        <v>80</v>
      </c>
      <c r="D223" s="7" t="str">
        <f>VLOOKUP(C223,'5-Genre Codes'!$A$1:$B$11,2,FALSE)</f>
        <v>Science Fiction</v>
      </c>
      <c r="E223" s="8">
        <v>2010</v>
      </c>
      <c r="F223" s="6">
        <v>12865</v>
      </c>
      <c r="G223" s="6" t="str">
        <f>VLOOKUP(F223,'4-Actor Codes'!$A$1:$B$622,2,FALSE)</f>
        <v>Garrett Hedlund</v>
      </c>
      <c r="H223" s="8" t="s">
        <v>13</v>
      </c>
      <c r="I223" s="9">
        <v>172062763</v>
      </c>
      <c r="J223" s="10">
        <v>225500000</v>
      </c>
      <c r="L223" s="10">
        <v>200000000</v>
      </c>
      <c r="M223" s="13"/>
      <c r="N223" s="13"/>
      <c r="O223" s="13"/>
      <c r="P223" s="13"/>
    </row>
    <row r="224" spans="1:16" ht="31" x14ac:dyDescent="0.35">
      <c r="A224" s="5">
        <v>223</v>
      </c>
      <c r="B224" s="6" t="s">
        <v>233</v>
      </c>
      <c r="C224" s="7">
        <v>20</v>
      </c>
      <c r="D224" s="7" t="str">
        <f>VLOOKUP(C224,'5-Genre Codes'!$A$1:$B$11,2,FALSE)</f>
        <v>Dramatization</v>
      </c>
      <c r="E224" s="8">
        <v>1995</v>
      </c>
      <c r="F224" s="6">
        <v>12835</v>
      </c>
      <c r="G224" s="6" t="str">
        <f>VLOOKUP(F224,'4-Actor Codes'!$A$1:$B$622,2,FALSE)</f>
        <v>Gabriel Jarret</v>
      </c>
      <c r="H224" s="8" t="s">
        <v>10</v>
      </c>
      <c r="I224" s="9">
        <v>172036360</v>
      </c>
      <c r="J224" s="10">
        <v>162029504</v>
      </c>
      <c r="L224" s="10">
        <v>65000000</v>
      </c>
      <c r="M224" s="13"/>
      <c r="N224" s="13"/>
      <c r="O224" s="13"/>
      <c r="P224" s="13"/>
    </row>
    <row r="225" spans="1:16" ht="31" x14ac:dyDescent="0.35">
      <c r="A225" s="5">
        <v>224</v>
      </c>
      <c r="B225" s="6" t="s">
        <v>234</v>
      </c>
      <c r="C225" s="7">
        <v>80</v>
      </c>
      <c r="D225" s="7" t="str">
        <f>VLOOKUP(C225,'5-Genre Codes'!$A$1:$B$11,2,FALSE)</f>
        <v>Science Fiction</v>
      </c>
      <c r="E225" s="8">
        <v>1999</v>
      </c>
      <c r="F225" s="6">
        <v>14755</v>
      </c>
      <c r="G225" s="6" t="str">
        <f>VLOOKUP(F225,'4-Actor Codes'!$A$1:$B$622,2,FALSE)</f>
        <v>Keanu Reeves</v>
      </c>
      <c r="H225" s="8" t="s">
        <v>10</v>
      </c>
      <c r="I225" s="9">
        <v>171383253</v>
      </c>
      <c r="J225" s="10">
        <v>292037453</v>
      </c>
      <c r="L225" s="10">
        <v>65000000</v>
      </c>
      <c r="M225" s="13"/>
      <c r="N225" s="13"/>
      <c r="O225" s="13"/>
      <c r="P225" s="13"/>
    </row>
    <row r="226" spans="1:16" ht="31" x14ac:dyDescent="0.35">
      <c r="A226" s="5">
        <v>225</v>
      </c>
      <c r="B226" s="6" t="s">
        <v>235</v>
      </c>
      <c r="C226" s="7">
        <v>50</v>
      </c>
      <c r="D226" s="7" t="str">
        <f>VLOOKUP(C226,'5-Genre Codes'!$A$1:$B$11,2,FALSE)</f>
        <v>Historical Fiction</v>
      </c>
      <c r="E226" s="8">
        <v>1999</v>
      </c>
      <c r="F226" s="6">
        <v>18910</v>
      </c>
      <c r="G226" s="6" t="str">
        <f>VLOOKUP(F226,'4-Actor Codes'!$A$1:$B$622,2,FALSE)</f>
        <v>Tony Goldwyn</v>
      </c>
      <c r="H226" s="8" t="s">
        <v>10</v>
      </c>
      <c r="I226" s="9">
        <v>171091819</v>
      </c>
      <c r="J226" s="10">
        <v>277100000</v>
      </c>
      <c r="L226" s="10">
        <v>145000000</v>
      </c>
      <c r="M226" s="13"/>
      <c r="N226" s="13"/>
      <c r="O226" s="13"/>
      <c r="P226" s="13"/>
    </row>
    <row r="227" spans="1:16" x14ac:dyDescent="0.35">
      <c r="A227" s="5">
        <v>226</v>
      </c>
      <c r="B227" s="6" t="s">
        <v>236</v>
      </c>
      <c r="C227" s="7">
        <v>50</v>
      </c>
      <c r="D227" s="7" t="str">
        <f>VLOOKUP(C227,'5-Genre Codes'!$A$1:$B$11,2,FALSE)</f>
        <v>Historical Fiction</v>
      </c>
      <c r="E227" s="8">
        <v>2010</v>
      </c>
      <c r="F227" s="6">
        <v>13915</v>
      </c>
      <c r="G227" s="6" t="str">
        <f>VLOOKUP(F227,'4-Actor Codes'!$A$1:$B$622,2,FALSE)</f>
        <v>Jeff Bridges</v>
      </c>
      <c r="H227" s="8" t="s">
        <v>10</v>
      </c>
      <c r="I227" s="9">
        <v>171050328</v>
      </c>
      <c r="J227" s="10">
        <v>81033923</v>
      </c>
      <c r="L227" s="10">
        <v>35000000</v>
      </c>
      <c r="M227" s="13"/>
      <c r="N227" s="13"/>
      <c r="O227" s="13"/>
      <c r="P227" s="13"/>
    </row>
    <row r="228" spans="1:16" x14ac:dyDescent="0.35">
      <c r="A228" s="5">
        <v>227</v>
      </c>
      <c r="B228" s="6" t="s">
        <v>237</v>
      </c>
      <c r="C228" s="7">
        <v>20</v>
      </c>
      <c r="D228" s="7" t="str">
        <f>VLOOKUP(C228,'5-Genre Codes'!$A$1:$B$11,2,FALSE)</f>
        <v>Dramatization</v>
      </c>
      <c r="E228" s="8">
        <v>2001</v>
      </c>
      <c r="F228" s="6">
        <v>17500</v>
      </c>
      <c r="G228" s="6" t="str">
        <f>VLOOKUP(F228,'4-Actor Codes'!$A$1:$B$622,2,FALSE)</f>
        <v>Ron Howard</v>
      </c>
      <c r="H228" s="8" t="s">
        <v>10</v>
      </c>
      <c r="I228" s="9">
        <v>170708996</v>
      </c>
      <c r="J228" s="10">
        <v>146959062</v>
      </c>
      <c r="K228" s="11" t="s">
        <v>1010</v>
      </c>
      <c r="L228" s="10">
        <v>78000000</v>
      </c>
      <c r="M228" s="13"/>
      <c r="N228" s="13"/>
      <c r="O228" s="13"/>
      <c r="P228" s="13"/>
    </row>
    <row r="229" spans="1:16" x14ac:dyDescent="0.35">
      <c r="A229" s="5">
        <v>228</v>
      </c>
      <c r="B229" s="6" t="s">
        <v>238</v>
      </c>
      <c r="C229" s="7">
        <v>50</v>
      </c>
      <c r="D229" s="7" t="str">
        <f>VLOOKUP(C229,'5-Genre Codes'!$A$1:$B$11,2,FALSE)</f>
        <v>Historical Fiction</v>
      </c>
      <c r="E229" s="8">
        <v>2002</v>
      </c>
      <c r="F229" s="6">
        <v>11335</v>
      </c>
      <c r="G229" s="6" t="str">
        <f>VLOOKUP(F229,'4-Actor Codes'!$A$1:$B$622,2,FALSE)</f>
        <v>Chita Rivera</v>
      </c>
      <c r="H229" s="8" t="s">
        <v>10</v>
      </c>
      <c r="I229" s="9">
        <v>170687518</v>
      </c>
      <c r="J229" s="10">
        <v>137000000</v>
      </c>
      <c r="L229" s="10">
        <v>30000000</v>
      </c>
      <c r="M229" s="13"/>
      <c r="N229" s="13"/>
      <c r="O229" s="13"/>
      <c r="P229" s="13"/>
    </row>
    <row r="230" spans="1:16" ht="31" x14ac:dyDescent="0.35">
      <c r="A230" s="5">
        <v>229</v>
      </c>
      <c r="B230" s="6" t="s">
        <v>239</v>
      </c>
      <c r="C230" s="7">
        <v>10</v>
      </c>
      <c r="D230" s="7" t="str">
        <f>VLOOKUP(C230,'5-Genre Codes'!$A$1:$B$11,2,FALSE)</f>
        <v>Contemporary Fiction</v>
      </c>
      <c r="E230" s="8">
        <v>1992</v>
      </c>
      <c r="F230" s="6">
        <v>17200</v>
      </c>
      <c r="G230" s="6" t="str">
        <f>VLOOKUP(F230,'4-Actor Codes'!$A$1:$B$622,2,FALSE)</f>
        <v>Rip Taylor</v>
      </c>
      <c r="H230" s="8" t="s">
        <v>13</v>
      </c>
      <c r="I230" s="9">
        <v>170004045</v>
      </c>
      <c r="J230" s="10">
        <v>185409334</v>
      </c>
      <c r="L230" s="10">
        <v>20000000</v>
      </c>
      <c r="M230" s="13"/>
      <c r="N230" s="13"/>
      <c r="O230" s="13"/>
      <c r="P230" s="13"/>
    </row>
    <row r="231" spans="1:16" x14ac:dyDescent="0.35">
      <c r="A231" s="5">
        <v>230</v>
      </c>
      <c r="B231" s="6" t="s">
        <v>240</v>
      </c>
      <c r="C231" s="7">
        <v>50</v>
      </c>
      <c r="D231" s="7" t="str">
        <f>VLOOKUP(C231,'5-Genre Codes'!$A$1:$B$11,2,FALSE)</f>
        <v>Historical Fiction</v>
      </c>
      <c r="E231" s="8">
        <v>2010</v>
      </c>
      <c r="F231" s="6">
        <v>12520</v>
      </c>
      <c r="G231" s="6" t="str">
        <f>VLOOKUP(F231,'4-Actor Codes'!$A$1:$B$622,2,FALSE)</f>
        <v>Emma Stone</v>
      </c>
      <c r="H231" s="8" t="s">
        <v>10</v>
      </c>
      <c r="I231" s="9">
        <v>169705587</v>
      </c>
      <c r="J231" s="10">
        <v>43414417</v>
      </c>
      <c r="L231" s="10">
        <v>25000000</v>
      </c>
      <c r="M231" s="13"/>
      <c r="N231" s="13"/>
      <c r="O231" s="13"/>
      <c r="P231" s="13"/>
    </row>
    <row r="232" spans="1:16" ht="31" x14ac:dyDescent="0.35">
      <c r="A232" s="5">
        <v>231</v>
      </c>
      <c r="B232" s="6" t="s">
        <v>241</v>
      </c>
      <c r="C232" s="7">
        <v>10</v>
      </c>
      <c r="D232" s="7" t="str">
        <f>VLOOKUP(C232,'5-Genre Codes'!$A$1:$B$11,2,FALSE)</f>
        <v>Contemporary Fiction</v>
      </c>
      <c r="E232" s="8">
        <v>2008</v>
      </c>
      <c r="F232" s="6">
        <v>11830</v>
      </c>
      <c r="G232" s="6" t="str">
        <f>VLOOKUP(F232,'4-Actor Codes'!$A$1:$B$622,2,FALSE)</f>
        <v>Daniel Craig</v>
      </c>
      <c r="H232" s="8" t="s">
        <v>13</v>
      </c>
      <c r="I232" s="9">
        <v>169368427</v>
      </c>
      <c r="J232" s="10">
        <v>422323651</v>
      </c>
      <c r="L232" s="10">
        <v>230000000</v>
      </c>
      <c r="M232" s="13"/>
      <c r="N232" s="13"/>
      <c r="O232" s="13"/>
      <c r="P232" s="13"/>
    </row>
    <row r="233" spans="1:16" ht="31" x14ac:dyDescent="0.35">
      <c r="A233" s="5">
        <v>232</v>
      </c>
      <c r="B233" s="6" t="s">
        <v>242</v>
      </c>
      <c r="C233" s="7">
        <v>10</v>
      </c>
      <c r="D233" s="7" t="str">
        <f>VLOOKUP(C233,'5-Genre Codes'!$A$1:$B$11,2,FALSE)</f>
        <v>Contemporary Fiction</v>
      </c>
      <c r="E233" s="8">
        <v>2011</v>
      </c>
      <c r="F233" s="6">
        <v>15025</v>
      </c>
      <c r="G233" s="6" t="str">
        <f>VLOOKUP(F233,'4-Actor Codes'!$A$1:$B$622,2,FALSE)</f>
        <v>Kristen Wiig</v>
      </c>
      <c r="H233" s="8" t="s">
        <v>10</v>
      </c>
      <c r="I233" s="9">
        <v>169106725</v>
      </c>
      <c r="J233" s="10">
        <v>120420305</v>
      </c>
      <c r="L233" s="10">
        <v>32500000</v>
      </c>
      <c r="M233" s="13"/>
      <c r="N233" s="13"/>
      <c r="O233" s="13"/>
      <c r="P233" s="13"/>
    </row>
    <row r="234" spans="1:16" ht="31" x14ac:dyDescent="0.35">
      <c r="A234" s="5">
        <v>233</v>
      </c>
      <c r="B234" s="6" t="s">
        <v>243</v>
      </c>
      <c r="C234" s="7">
        <v>10</v>
      </c>
      <c r="D234" s="7" t="str">
        <f>VLOOKUP(C234,'5-Genre Codes'!$A$1:$B$11,2,FALSE)</f>
        <v>Contemporary Fiction</v>
      </c>
      <c r="E234" s="8">
        <v>2007</v>
      </c>
      <c r="F234" s="6">
        <v>14320</v>
      </c>
      <c r="G234" s="6" t="str">
        <f>VLOOKUP(F234,'4-Actor Codes'!$A$1:$B$622,2,FALSE)</f>
        <v>John Travolta</v>
      </c>
      <c r="H234" s="8" t="s">
        <v>10</v>
      </c>
      <c r="I234" s="9">
        <v>168213584</v>
      </c>
      <c r="J234" s="10">
        <v>84800000</v>
      </c>
      <c r="L234" s="10">
        <v>0</v>
      </c>
      <c r="M234" s="13"/>
      <c r="N234" s="13"/>
      <c r="O234" s="13"/>
      <c r="P234" s="13"/>
    </row>
    <row r="235" spans="1:16" ht="31" x14ac:dyDescent="0.35">
      <c r="A235" s="5">
        <v>234</v>
      </c>
      <c r="B235" s="6" t="s">
        <v>244</v>
      </c>
      <c r="C235" s="7">
        <v>10</v>
      </c>
      <c r="D235" s="7" t="str">
        <f>VLOOKUP(C235,'5-Genre Codes'!$A$1:$B$11,2,FALSE)</f>
        <v>Contemporary Fiction</v>
      </c>
      <c r="E235" s="8">
        <v>1986</v>
      </c>
      <c r="F235" s="6">
        <v>15310</v>
      </c>
      <c r="G235" s="6" t="str">
        <f>VLOOKUP(F235,'4-Actor Codes'!$A$1:$B$622,2,FALSE)</f>
        <v>Linda Kozlowski</v>
      </c>
      <c r="H235" s="8" t="s">
        <v>10</v>
      </c>
      <c r="I235" s="9">
        <v>168134511</v>
      </c>
      <c r="J235" s="10">
        <v>153400000</v>
      </c>
      <c r="L235" s="10">
        <v>8800000</v>
      </c>
      <c r="M235" s="13"/>
      <c r="N235" s="13"/>
      <c r="O235" s="13"/>
      <c r="P235" s="13"/>
    </row>
    <row r="236" spans="1:16" ht="31" x14ac:dyDescent="0.35">
      <c r="A236" s="5">
        <v>235</v>
      </c>
      <c r="B236" s="6" t="s">
        <v>245</v>
      </c>
      <c r="C236" s="7">
        <v>10</v>
      </c>
      <c r="D236" s="7" t="str">
        <f>VLOOKUP(C236,'5-Genre Codes'!$A$1:$B$11,2,FALSE)</f>
        <v>Contemporary Fiction</v>
      </c>
      <c r="E236" s="8">
        <v>1988</v>
      </c>
      <c r="F236" s="6">
        <v>18745</v>
      </c>
      <c r="G236" s="6" t="str">
        <f>VLOOKUP(F236,'4-Actor Codes'!$A$1:$B$622,2,FALSE)</f>
        <v>Tom Cruise</v>
      </c>
      <c r="H236" s="8" t="s">
        <v>10</v>
      </c>
      <c r="I236" s="9">
        <v>168106313</v>
      </c>
      <c r="J236" s="10">
        <v>239974565</v>
      </c>
      <c r="K236" s="11" t="s">
        <v>1010</v>
      </c>
      <c r="L236" s="10">
        <v>25000000</v>
      </c>
      <c r="M236" s="13"/>
      <c r="N236" s="13"/>
      <c r="O236" s="13"/>
      <c r="P236" s="13"/>
    </row>
    <row r="237" spans="1:16" ht="31" x14ac:dyDescent="0.35">
      <c r="A237" s="5">
        <v>236</v>
      </c>
      <c r="B237" s="6" t="s">
        <v>246</v>
      </c>
      <c r="C237" s="7">
        <v>10</v>
      </c>
      <c r="D237" s="7" t="str">
        <f>VLOOKUP(C237,'5-Genre Codes'!$A$1:$B$11,2,FALSE)</f>
        <v>Contemporary Fiction</v>
      </c>
      <c r="E237" s="8">
        <v>2014</v>
      </c>
      <c r="F237" s="6">
        <v>10630</v>
      </c>
      <c r="G237" s="6" t="str">
        <f>VLOOKUP(F237,'4-Actor Codes'!$A$1:$B$622,2,FALSE)</f>
        <v>Ben Affleck</v>
      </c>
      <c r="H237" s="8" t="s">
        <v>10</v>
      </c>
      <c r="I237" s="9">
        <v>167767189</v>
      </c>
      <c r="J237" s="10">
        <v>200800000</v>
      </c>
      <c r="L237" s="10">
        <v>61000000</v>
      </c>
      <c r="M237" s="13"/>
      <c r="N237" s="13"/>
      <c r="O237" s="13"/>
      <c r="P237" s="13"/>
    </row>
    <row r="238" spans="1:16" ht="31" x14ac:dyDescent="0.35">
      <c r="A238" s="5">
        <v>237</v>
      </c>
      <c r="B238" s="6" t="s">
        <v>247</v>
      </c>
      <c r="C238" s="7">
        <v>10</v>
      </c>
      <c r="D238" s="7" t="str">
        <f>VLOOKUP(C238,'5-Genre Codes'!$A$1:$B$11,2,FALSE)</f>
        <v>Contemporary Fiction</v>
      </c>
      <c r="E238" s="8">
        <v>2006</v>
      </c>
      <c r="F238" s="6">
        <v>13360</v>
      </c>
      <c r="G238" s="6" t="str">
        <f>VLOOKUP(F238,'4-Actor Codes'!$A$1:$B$622,2,FALSE)</f>
        <v>Ivana Milicevic</v>
      </c>
      <c r="H238" s="8" t="s">
        <v>13</v>
      </c>
      <c r="I238" s="9">
        <v>167220102</v>
      </c>
      <c r="J238" s="10">
        <v>427055283</v>
      </c>
      <c r="L238" s="10">
        <v>102000000</v>
      </c>
      <c r="M238" s="13"/>
      <c r="N238" s="13"/>
      <c r="O238" s="13"/>
      <c r="P238" s="13"/>
    </row>
    <row r="239" spans="1:16" ht="31" x14ac:dyDescent="0.35">
      <c r="A239" s="5">
        <v>238</v>
      </c>
      <c r="B239" s="6" t="s">
        <v>248</v>
      </c>
      <c r="C239" s="7">
        <v>10</v>
      </c>
      <c r="D239" s="7" t="str">
        <f>VLOOKUP(C239,'5-Genre Codes'!$A$1:$B$11,2,FALSE)</f>
        <v>Contemporary Fiction</v>
      </c>
      <c r="E239" s="8">
        <v>2000</v>
      </c>
      <c r="F239" s="6">
        <v>10660</v>
      </c>
      <c r="G239" s="6" t="str">
        <f>VLOOKUP(F239,'4-Actor Codes'!$A$1:$B$622,2,FALSE)</f>
        <v>Ben Stiller</v>
      </c>
      <c r="H239" s="8" t="s">
        <v>10</v>
      </c>
      <c r="I239" s="9">
        <v>166225040</v>
      </c>
      <c r="J239" s="10">
        <v>138374859</v>
      </c>
      <c r="L239" s="10">
        <v>55000000</v>
      </c>
      <c r="M239" s="13"/>
      <c r="N239" s="13"/>
      <c r="O239" s="13"/>
      <c r="P239" s="13"/>
    </row>
    <row r="240" spans="1:16" ht="31" x14ac:dyDescent="0.35">
      <c r="A240" s="5">
        <v>239</v>
      </c>
      <c r="B240" s="6" t="s">
        <v>249</v>
      </c>
      <c r="C240" s="7">
        <v>10</v>
      </c>
      <c r="D240" s="7" t="str">
        <f>VLOOKUP(C240,'5-Genre Codes'!$A$1:$B$11,2,FALSE)</f>
        <v>Contemporary Fiction</v>
      </c>
      <c r="E240" s="8">
        <v>2013</v>
      </c>
      <c r="F240" s="6">
        <v>11725</v>
      </c>
      <c r="G240" s="6" t="str">
        <f>VLOOKUP(F240,'4-Actor Codes'!$A$1:$B$622,2,FALSE)</f>
        <v>Dakota Johnson</v>
      </c>
      <c r="H240" s="8" t="s">
        <v>10</v>
      </c>
      <c r="I240" s="9">
        <v>166167230</v>
      </c>
      <c r="J240" s="10">
        <v>404288027</v>
      </c>
      <c r="L240" s="10">
        <v>40000000</v>
      </c>
      <c r="M240" s="13"/>
      <c r="N240" s="13"/>
      <c r="O240" s="13"/>
      <c r="P240" s="13"/>
    </row>
    <row r="241" spans="1:16" x14ac:dyDescent="0.35">
      <c r="A241" s="5">
        <v>240</v>
      </c>
      <c r="B241" s="6" t="s">
        <v>250</v>
      </c>
      <c r="C241" s="7">
        <v>80</v>
      </c>
      <c r="D241" s="7" t="str">
        <f>VLOOKUP(C241,'5-Genre Codes'!$A$1:$B$11,2,FALSE)</f>
        <v>Science Fiction</v>
      </c>
      <c r="E241" s="8">
        <v>2009</v>
      </c>
      <c r="F241" s="6">
        <v>11275</v>
      </c>
      <c r="G241" s="6" t="str">
        <f>VLOOKUP(F241,'4-Actor Codes'!$A$1:$B$622,2,FALSE)</f>
        <v>Chang Tseng</v>
      </c>
      <c r="H241" s="8" t="s">
        <v>10</v>
      </c>
      <c r="I241" s="9">
        <v>166112167</v>
      </c>
      <c r="J241" s="10">
        <v>622296372</v>
      </c>
      <c r="L241" s="10">
        <v>200000000</v>
      </c>
      <c r="M241" s="13"/>
      <c r="N241" s="13"/>
      <c r="O241" s="13"/>
      <c r="P241" s="13"/>
    </row>
    <row r="242" spans="1:16" ht="31" x14ac:dyDescent="0.35">
      <c r="A242" s="5">
        <v>241</v>
      </c>
      <c r="B242" s="6" t="s">
        <v>251</v>
      </c>
      <c r="C242" s="7">
        <v>80</v>
      </c>
      <c r="D242" s="7" t="str">
        <f>VLOOKUP(C242,'5-Genre Codes'!$A$1:$B$11,2,FALSE)</f>
        <v>Science Fiction</v>
      </c>
      <c r="E242" s="8">
        <v>1977</v>
      </c>
      <c r="F242" s="6">
        <v>15880</v>
      </c>
      <c r="G242" s="6" t="str">
        <f>VLOOKUP(F242,'4-Actor Codes'!$A$1:$B$622,2,FALSE)</f>
        <v>Melinda Dillon</v>
      </c>
      <c r="H242" s="8" t="s">
        <v>10</v>
      </c>
      <c r="I242" s="9">
        <v>166000000</v>
      </c>
      <c r="J242" s="10">
        <v>171700000</v>
      </c>
      <c r="L242" s="10">
        <v>20000000</v>
      </c>
      <c r="M242" s="13"/>
      <c r="N242" s="13"/>
      <c r="O242" s="13"/>
      <c r="P242" s="13"/>
    </row>
    <row r="243" spans="1:16" ht="31" x14ac:dyDescent="0.35">
      <c r="A243" s="5">
        <v>242</v>
      </c>
      <c r="B243" s="6" t="s">
        <v>252</v>
      </c>
      <c r="C243" s="7">
        <v>60</v>
      </c>
      <c r="D243" s="7" t="str">
        <f>VLOOKUP(C243,'5-Genre Codes'!$A$1:$B$11,2,FALSE)</f>
        <v>Kids Fiction</v>
      </c>
      <c r="E243" s="8">
        <v>2015</v>
      </c>
      <c r="F243" s="6">
        <v>10015</v>
      </c>
      <c r="G243" s="6" t="str">
        <f>VLOOKUP(F243,'4-Actor Codes'!$A$1:$B$622,2,FALSE)</f>
        <v>Adam Sandler</v>
      </c>
      <c r="H243" s="8" t="s">
        <v>13</v>
      </c>
      <c r="I243" s="9">
        <v>165447891</v>
      </c>
      <c r="J243" s="10">
        <v>242900000</v>
      </c>
      <c r="L243" s="10">
        <v>80000000</v>
      </c>
      <c r="M243" s="13"/>
      <c r="N243" s="13"/>
      <c r="O243" s="13"/>
      <c r="P243" s="13"/>
    </row>
    <row r="244" spans="1:16" ht="62" x14ac:dyDescent="0.35">
      <c r="A244" s="5">
        <v>243</v>
      </c>
      <c r="B244" s="6" t="s">
        <v>253</v>
      </c>
      <c r="C244" s="7">
        <v>50</v>
      </c>
      <c r="D244" s="7" t="str">
        <f>VLOOKUP(C244,'5-Genre Codes'!$A$1:$B$11,2,FALSE)</f>
        <v>Historical Fiction</v>
      </c>
      <c r="E244" s="8">
        <v>1991</v>
      </c>
      <c r="F244" s="6">
        <v>15640</v>
      </c>
      <c r="G244" s="6" t="str">
        <f>VLOOKUP(F244,'4-Actor Codes'!$A$1:$B$622,2,FALSE)</f>
        <v>Mary Elizabeth Mastrantonio</v>
      </c>
      <c r="H244" s="8" t="s">
        <v>10</v>
      </c>
      <c r="I244" s="9">
        <v>165360108</v>
      </c>
      <c r="J244" s="10">
        <v>225006092</v>
      </c>
      <c r="L244" s="10">
        <v>50000000</v>
      </c>
      <c r="M244" s="13"/>
      <c r="N244" s="13"/>
      <c r="O244" s="13"/>
      <c r="P244" s="13"/>
    </row>
    <row r="245" spans="1:16" ht="31" x14ac:dyDescent="0.35">
      <c r="A245" s="5">
        <v>244</v>
      </c>
      <c r="B245" s="6" t="s">
        <v>254</v>
      </c>
      <c r="C245" s="7">
        <v>60</v>
      </c>
      <c r="D245" s="7" t="str">
        <f>VLOOKUP(C245,'5-Genre Codes'!$A$1:$B$11,2,FALSE)</f>
        <v>Kids Fiction</v>
      </c>
      <c r="E245" s="8">
        <v>2011</v>
      </c>
      <c r="F245" s="6">
        <v>12325</v>
      </c>
      <c r="G245" s="6" t="str">
        <f>VLOOKUP(F245,'4-Actor Codes'!$A$1:$B$622,2,FALSE)</f>
        <v>Dustin Hoffman</v>
      </c>
      <c r="H245" s="8" t="s">
        <v>13</v>
      </c>
      <c r="I245" s="9">
        <v>165249063</v>
      </c>
      <c r="J245" s="10">
        <v>499588484</v>
      </c>
      <c r="L245" s="10">
        <v>150000000</v>
      </c>
      <c r="M245" s="13"/>
      <c r="N245" s="13"/>
      <c r="O245" s="13"/>
      <c r="P245" s="13"/>
    </row>
    <row r="246" spans="1:16" ht="31" x14ac:dyDescent="0.35">
      <c r="A246" s="5">
        <v>245</v>
      </c>
      <c r="B246" s="6" t="s">
        <v>255</v>
      </c>
      <c r="C246" s="7">
        <v>10</v>
      </c>
      <c r="D246" s="7" t="str">
        <f>VLOOKUP(C246,'5-Genre Codes'!$A$1:$B$11,2,FALSE)</f>
        <v>Contemporary Fiction</v>
      </c>
      <c r="E246" s="8">
        <v>2001</v>
      </c>
      <c r="F246" s="6">
        <v>14500</v>
      </c>
      <c r="G246" s="6" t="str">
        <f>VLOOKUP(F246,'4-Actor Codes'!$A$1:$B$622,2,FALSE)</f>
        <v>Judie Aronson</v>
      </c>
      <c r="H246" s="8" t="s">
        <v>10</v>
      </c>
      <c r="I246" s="9">
        <v>165091986</v>
      </c>
      <c r="J246" s="10">
        <v>185008014</v>
      </c>
      <c r="L246" s="10">
        <v>87000000</v>
      </c>
      <c r="M246" s="13"/>
      <c r="N246" s="13"/>
      <c r="O246" s="13"/>
      <c r="P246" s="13"/>
    </row>
    <row r="247" spans="1:16" ht="31" x14ac:dyDescent="0.35">
      <c r="A247" s="5">
        <v>246</v>
      </c>
      <c r="B247" s="6" t="s">
        <v>256</v>
      </c>
      <c r="C247" s="7">
        <v>20</v>
      </c>
      <c r="D247" s="7" t="str">
        <f>VLOOKUP(C247,'5-Genre Codes'!$A$1:$B$11,2,FALSE)</f>
        <v>Dramatization</v>
      </c>
      <c r="E247" s="8">
        <v>2002</v>
      </c>
      <c r="F247" s="6">
        <v>10135</v>
      </c>
      <c r="G247" s="6" t="str">
        <f>VLOOKUP(F247,'4-Actor Codes'!$A$1:$B$622,2,FALSE)</f>
        <v>Alex Hyde-White</v>
      </c>
      <c r="H247" s="8" t="s">
        <v>10</v>
      </c>
      <c r="I247" s="9">
        <v>164606800</v>
      </c>
      <c r="J247" s="10">
        <v>191005491</v>
      </c>
      <c r="L247" s="10">
        <v>52000000</v>
      </c>
      <c r="M247" s="13"/>
      <c r="N247" s="13"/>
      <c r="O247" s="13"/>
      <c r="P247" s="13"/>
    </row>
    <row r="248" spans="1:16" ht="31" x14ac:dyDescent="0.35">
      <c r="A248" s="5">
        <v>247</v>
      </c>
      <c r="B248" s="6" t="s">
        <v>257</v>
      </c>
      <c r="C248" s="7">
        <v>10</v>
      </c>
      <c r="D248" s="7" t="str">
        <f>VLOOKUP(C248,'5-Genre Codes'!$A$1:$B$11,2,FALSE)</f>
        <v>Contemporary Fiction</v>
      </c>
      <c r="E248" s="8">
        <v>1987</v>
      </c>
      <c r="F248" s="6">
        <v>12130</v>
      </c>
      <c r="G248" s="6" t="str">
        <f>VLOOKUP(F248,'4-Actor Codes'!$A$1:$B$622,2,FALSE)</f>
        <v>Derek de Lint</v>
      </c>
      <c r="H248" s="8" t="s">
        <v>10</v>
      </c>
      <c r="I248" s="9">
        <v>164016972</v>
      </c>
      <c r="J248" s="10">
        <v>0</v>
      </c>
      <c r="L248" s="10">
        <v>15000000</v>
      </c>
      <c r="M248" s="13"/>
      <c r="N248" s="13"/>
      <c r="O248" s="13"/>
      <c r="P248" s="13"/>
    </row>
    <row r="249" spans="1:16" ht="31" x14ac:dyDescent="0.35">
      <c r="A249" s="5">
        <v>248</v>
      </c>
      <c r="B249" s="6" t="s">
        <v>258</v>
      </c>
      <c r="C249" s="7">
        <v>10</v>
      </c>
      <c r="D249" s="7" t="str">
        <f>VLOOKUP(C249,'5-Genre Codes'!$A$1:$B$11,2,FALSE)</f>
        <v>Contemporary Fiction</v>
      </c>
      <c r="E249" s="8">
        <v>2009</v>
      </c>
      <c r="F249" s="6">
        <v>17770</v>
      </c>
      <c r="G249" s="6" t="str">
        <f>VLOOKUP(F249,'4-Actor Codes'!$A$1:$B$622,2,FALSE)</f>
        <v>Sandra Bullock</v>
      </c>
      <c r="H249" s="8" t="s">
        <v>10</v>
      </c>
      <c r="I249" s="9">
        <v>163958031</v>
      </c>
      <c r="J249" s="10">
        <v>150751686</v>
      </c>
      <c r="L249" s="10">
        <v>40000000</v>
      </c>
      <c r="M249" s="13"/>
      <c r="N249" s="13"/>
      <c r="O249" s="13"/>
      <c r="P249" s="13"/>
    </row>
    <row r="250" spans="1:16" ht="31" x14ac:dyDescent="0.35">
      <c r="A250" s="5">
        <v>249</v>
      </c>
      <c r="B250" s="6" t="s">
        <v>259</v>
      </c>
      <c r="C250" s="7">
        <v>10</v>
      </c>
      <c r="D250" s="7" t="str">
        <f>VLOOKUP(C250,'5-Genre Codes'!$A$1:$B$11,2,FALSE)</f>
        <v>Contemporary Fiction</v>
      </c>
      <c r="E250" s="8">
        <v>1999</v>
      </c>
      <c r="F250" s="6">
        <v>16840</v>
      </c>
      <c r="G250" s="6" t="str">
        <f>VLOOKUP(F250,'4-Actor Codes'!$A$1:$B$622,2,FALSE)</f>
        <v>Peter Dante</v>
      </c>
      <c r="H250" s="8" t="s">
        <v>10</v>
      </c>
      <c r="I250" s="9">
        <v>163479795</v>
      </c>
      <c r="J250" s="10">
        <v>65161488</v>
      </c>
      <c r="L250" s="10">
        <v>30000000</v>
      </c>
      <c r="M250" s="13"/>
      <c r="N250" s="13"/>
      <c r="O250" s="13"/>
      <c r="P250" s="13"/>
    </row>
    <row r="251" spans="1:16" ht="31" x14ac:dyDescent="0.35">
      <c r="A251" s="5">
        <v>250</v>
      </c>
      <c r="B251" s="6" t="s">
        <v>260</v>
      </c>
      <c r="C251" s="7">
        <v>40</v>
      </c>
      <c r="D251" s="7" t="str">
        <f>VLOOKUP(C251,'5-Genre Codes'!$A$1:$B$11,2,FALSE)</f>
        <v>Fantasy</v>
      </c>
      <c r="E251" s="8">
        <v>2010</v>
      </c>
      <c r="F251" s="6">
        <v>10150</v>
      </c>
      <c r="G251" s="6" t="str">
        <f>VLOOKUP(F251,'4-Actor Codes'!$A$1:$B$622,2,FALSE)</f>
        <v>Alexa Davalos</v>
      </c>
      <c r="H251" s="8" t="s">
        <v>10</v>
      </c>
      <c r="I251" s="9">
        <v>163214888</v>
      </c>
      <c r="J251" s="10">
        <v>330000000</v>
      </c>
      <c r="L251" s="10">
        <v>125000000</v>
      </c>
      <c r="M251" s="13"/>
      <c r="N251" s="13"/>
      <c r="O251" s="13"/>
      <c r="P251" s="13"/>
    </row>
    <row r="252" spans="1:16" ht="31" x14ac:dyDescent="0.35">
      <c r="A252" s="5">
        <v>251</v>
      </c>
      <c r="B252" s="6" t="s">
        <v>261</v>
      </c>
      <c r="C252" s="7">
        <v>50</v>
      </c>
      <c r="D252" s="7" t="str">
        <f>VLOOKUP(C252,'5-Genre Codes'!$A$1:$B$11,2,FALSE)</f>
        <v>Historical Fiction</v>
      </c>
      <c r="E252" s="8">
        <v>1965</v>
      </c>
      <c r="F252" s="6">
        <v>11515</v>
      </c>
      <c r="G252" s="6" t="str">
        <f>VLOOKUP(F252,'4-Actor Codes'!$A$1:$B$622,2,FALSE)</f>
        <v>Christopher Plummer</v>
      </c>
      <c r="H252" s="8" t="s">
        <v>10</v>
      </c>
      <c r="I252" s="9">
        <v>163214286</v>
      </c>
      <c r="J252" s="10">
        <v>123000000</v>
      </c>
      <c r="K252" s="11" t="s">
        <v>1010</v>
      </c>
      <c r="L252" s="10">
        <v>8200000</v>
      </c>
      <c r="M252" s="13"/>
      <c r="N252" s="13"/>
      <c r="O252" s="13"/>
      <c r="P252" s="13"/>
    </row>
    <row r="253" spans="1:16" ht="31" x14ac:dyDescent="0.35">
      <c r="A253" s="5">
        <v>252</v>
      </c>
      <c r="B253" s="6" t="s">
        <v>262</v>
      </c>
      <c r="C253" s="7">
        <v>60</v>
      </c>
      <c r="D253" s="7" t="str">
        <f>VLOOKUP(C253,'5-Genre Codes'!$A$1:$B$11,2,FALSE)</f>
        <v>Kids Fiction</v>
      </c>
      <c r="E253" s="8">
        <v>2014</v>
      </c>
      <c r="F253" s="6">
        <v>10765</v>
      </c>
      <c r="G253" s="6" t="str">
        <f>VLOOKUP(F253,'4-Actor Codes'!$A$1:$B$622,2,FALSE)</f>
        <v>Bill Fagerbakke</v>
      </c>
      <c r="H253" s="8" t="s">
        <v>10</v>
      </c>
      <c r="I253" s="9">
        <v>162994032</v>
      </c>
      <c r="J253" s="10">
        <v>148600000</v>
      </c>
      <c r="L253" s="10">
        <v>74000000</v>
      </c>
      <c r="M253" s="13"/>
      <c r="N253" s="13"/>
      <c r="O253" s="13"/>
      <c r="P253" s="13"/>
    </row>
    <row r="254" spans="1:16" ht="31" x14ac:dyDescent="0.35">
      <c r="A254" s="5">
        <v>253</v>
      </c>
      <c r="B254" s="6" t="s">
        <v>263</v>
      </c>
      <c r="C254" s="7">
        <v>90</v>
      </c>
      <c r="D254" s="7" t="str">
        <f>VLOOKUP(C254,'5-Genre Codes'!$A$1:$B$11,2,FALSE)</f>
        <v>Super Hero</v>
      </c>
      <c r="E254" s="8">
        <v>1992</v>
      </c>
      <c r="F254" s="6">
        <v>11005</v>
      </c>
      <c r="G254" s="6" t="str">
        <f>VLOOKUP(F254,'4-Actor Codes'!$A$1:$B$622,2,FALSE)</f>
        <v>Branscombe Richmond</v>
      </c>
      <c r="H254" s="8" t="s">
        <v>13</v>
      </c>
      <c r="I254" s="9">
        <v>162833635</v>
      </c>
      <c r="J254" s="10">
        <v>103990656</v>
      </c>
      <c r="L254" s="10">
        <v>80000000</v>
      </c>
      <c r="M254" s="13"/>
      <c r="N254" s="13"/>
      <c r="O254" s="13"/>
      <c r="P254" s="13"/>
    </row>
    <row r="255" spans="1:16" x14ac:dyDescent="0.35">
      <c r="A255" s="5">
        <v>254</v>
      </c>
      <c r="B255" s="6" t="s">
        <v>264</v>
      </c>
      <c r="C255" s="7">
        <v>50</v>
      </c>
      <c r="D255" s="7" t="str">
        <f>VLOOKUP(C255,'5-Genre Codes'!$A$1:$B$11,2,FALSE)</f>
        <v>Historical Fiction</v>
      </c>
      <c r="E255" s="8">
        <v>2011</v>
      </c>
      <c r="F255" s="6">
        <v>13735</v>
      </c>
      <c r="G255" s="6" t="str">
        <f>VLOOKUP(F255,'4-Actor Codes'!$A$1:$B$622,2,FALSE)</f>
        <v>Jamie Foxx</v>
      </c>
      <c r="H255" s="8" t="s">
        <v>10</v>
      </c>
      <c r="I255" s="9">
        <v>162805434</v>
      </c>
      <c r="J255" s="10">
        <v>262568254</v>
      </c>
      <c r="L255" s="10">
        <v>100000000</v>
      </c>
      <c r="M255" s="13"/>
      <c r="N255" s="13"/>
      <c r="O255" s="13"/>
      <c r="P255" s="13"/>
    </row>
    <row r="256" spans="1:16" x14ac:dyDescent="0.35">
      <c r="A256" s="5">
        <v>255</v>
      </c>
      <c r="B256" s="6" t="s">
        <v>265</v>
      </c>
      <c r="C256" s="7">
        <v>40</v>
      </c>
      <c r="D256" s="7" t="str">
        <f>VLOOKUP(C256,'5-Genre Codes'!$A$1:$B$11,2,FALSE)</f>
        <v>Fantasy</v>
      </c>
      <c r="E256" s="8">
        <v>1998</v>
      </c>
      <c r="F256" s="6">
        <v>10780</v>
      </c>
      <c r="G256" s="6" t="str">
        <f>VLOOKUP(F256,'4-Actor Codes'!$A$1:$B$622,2,FALSE)</f>
        <v>Bill Farmer</v>
      </c>
      <c r="H256" s="8" t="s">
        <v>10</v>
      </c>
      <c r="I256" s="9">
        <v>162792677</v>
      </c>
      <c r="J256" s="10">
        <v>200296754</v>
      </c>
      <c r="L256" s="10">
        <v>45000000</v>
      </c>
      <c r="M256" s="13"/>
      <c r="N256" s="13"/>
      <c r="O256" s="13"/>
      <c r="P256" s="13"/>
    </row>
    <row r="257" spans="1:16" x14ac:dyDescent="0.35">
      <c r="A257" s="5">
        <v>256</v>
      </c>
      <c r="B257" s="6" t="s">
        <v>266</v>
      </c>
      <c r="C257" s="7">
        <v>20</v>
      </c>
      <c r="D257" s="7" t="str">
        <f>VLOOKUP(C257,'5-Genre Codes'!$A$1:$B$11,2,FALSE)</f>
        <v>Dramatization</v>
      </c>
      <c r="E257" s="8">
        <v>2006</v>
      </c>
      <c r="F257" s="6">
        <v>19165</v>
      </c>
      <c r="G257" s="6" t="str">
        <f>VLOOKUP(F257,'4-Actor Codes'!$A$1:$B$622,2,FALSE)</f>
        <v>Will Smith</v>
      </c>
      <c r="H257" s="8" t="s">
        <v>10</v>
      </c>
      <c r="I257" s="9">
        <v>162586036</v>
      </c>
      <c r="J257" s="10">
        <v>144739597</v>
      </c>
      <c r="L257" s="10">
        <v>55000000</v>
      </c>
      <c r="M257" s="13"/>
      <c r="N257" s="13"/>
      <c r="O257" s="13"/>
      <c r="P257" s="13"/>
    </row>
    <row r="258" spans="1:16" ht="31" x14ac:dyDescent="0.35">
      <c r="A258" s="5">
        <v>257</v>
      </c>
      <c r="B258" s="6" t="s">
        <v>267</v>
      </c>
      <c r="C258" s="7">
        <v>10</v>
      </c>
      <c r="D258" s="7" t="str">
        <f>VLOOKUP(C258,'5-Genre Codes'!$A$1:$B$11,2,FALSE)</f>
        <v>Contemporary Fiction</v>
      </c>
      <c r="E258" s="8">
        <v>2010</v>
      </c>
      <c r="F258" s="6">
        <v>13720</v>
      </c>
      <c r="G258" s="6" t="str">
        <f>VLOOKUP(F258,'4-Actor Codes'!$A$1:$B$622,2,FALSE)</f>
        <v>Jamie Chung</v>
      </c>
      <c r="H258" s="8" t="s">
        <v>10</v>
      </c>
      <c r="I258" s="9">
        <v>162001186</v>
      </c>
      <c r="J258" s="10">
        <v>110222244</v>
      </c>
      <c r="L258" s="10">
        <v>75000000</v>
      </c>
      <c r="M258" s="13"/>
      <c r="N258" s="13"/>
      <c r="O258" s="13"/>
      <c r="P258" s="13"/>
    </row>
    <row r="259" spans="1:16" ht="31" x14ac:dyDescent="0.35">
      <c r="A259" s="5">
        <v>258</v>
      </c>
      <c r="B259" s="6" t="s">
        <v>268</v>
      </c>
      <c r="C259" s="7">
        <v>10</v>
      </c>
      <c r="D259" s="7" t="str">
        <f>VLOOKUP(C259,'5-Genre Codes'!$A$1:$B$11,2,FALSE)</f>
        <v>Contemporary Fiction</v>
      </c>
      <c r="E259" s="8">
        <v>1998</v>
      </c>
      <c r="F259" s="6">
        <v>10015</v>
      </c>
      <c r="G259" s="6" t="str">
        <f>VLOOKUP(F259,'4-Actor Codes'!$A$1:$B$622,2,FALSE)</f>
        <v>Adam Sandler</v>
      </c>
      <c r="H259" s="8" t="s">
        <v>10</v>
      </c>
      <c r="I259" s="9">
        <v>161487252</v>
      </c>
      <c r="J259" s="10">
        <v>28700000</v>
      </c>
      <c r="L259" s="10">
        <v>23000000</v>
      </c>
      <c r="M259" s="13"/>
      <c r="N259" s="13"/>
      <c r="O259" s="13"/>
      <c r="P259" s="13"/>
    </row>
    <row r="260" spans="1:16" x14ac:dyDescent="0.35">
      <c r="A260" s="5">
        <v>259</v>
      </c>
      <c r="B260" s="6" t="s">
        <v>269</v>
      </c>
      <c r="C260" s="7">
        <v>60</v>
      </c>
      <c r="D260" s="7" t="str">
        <f>VLOOKUP(C260,'5-Genre Codes'!$A$1:$B$11,2,FALSE)</f>
        <v>Kids Fiction</v>
      </c>
      <c r="E260" s="8">
        <v>2004</v>
      </c>
      <c r="F260" s="6">
        <v>19165</v>
      </c>
      <c r="G260" s="6" t="str">
        <f>VLOOKUP(F260,'4-Actor Codes'!$A$1:$B$622,2,FALSE)</f>
        <v>Will Smith</v>
      </c>
      <c r="H260" s="8" t="s">
        <v>10</v>
      </c>
      <c r="I260" s="9">
        <v>161412000</v>
      </c>
      <c r="J260" s="10">
        <v>210505043</v>
      </c>
      <c r="L260" s="10">
        <v>75000000</v>
      </c>
      <c r="M260" s="13"/>
      <c r="N260" s="13"/>
      <c r="O260" s="13"/>
      <c r="P260" s="13"/>
    </row>
    <row r="261" spans="1:16" x14ac:dyDescent="0.35">
      <c r="A261" s="5">
        <v>260</v>
      </c>
      <c r="B261" s="6" t="s">
        <v>270</v>
      </c>
      <c r="C261" s="7">
        <v>40</v>
      </c>
      <c r="D261" s="7" t="str">
        <f>VLOOKUP(C261,'5-Genre Codes'!$A$1:$B$11,2,FALSE)</f>
        <v>Fantasy</v>
      </c>
      <c r="E261" s="8">
        <v>2012</v>
      </c>
      <c r="F261" s="6">
        <v>17080</v>
      </c>
      <c r="G261" s="6" t="str">
        <f>VLOOKUP(F261,'4-Actor Codes'!$A$1:$B$622,2,FALSE)</f>
        <v>Ray Romano</v>
      </c>
      <c r="H261" s="8" t="s">
        <v>13</v>
      </c>
      <c r="I261" s="9">
        <v>161321843</v>
      </c>
      <c r="J261" s="10">
        <v>718443294</v>
      </c>
      <c r="L261" s="10">
        <v>95000000</v>
      </c>
      <c r="M261" s="13"/>
      <c r="N261" s="13"/>
      <c r="O261" s="13"/>
      <c r="P261" s="13"/>
    </row>
    <row r="262" spans="1:16" ht="31" x14ac:dyDescent="0.35">
      <c r="A262" s="5">
        <v>261</v>
      </c>
      <c r="B262" s="6" t="s">
        <v>271</v>
      </c>
      <c r="C262" s="7">
        <v>20</v>
      </c>
      <c r="D262" s="7" t="str">
        <f>VLOOKUP(C262,'5-Genre Codes'!$A$1:$B$11,2,FALSE)</f>
        <v>Dramatization</v>
      </c>
      <c r="E262" s="8">
        <v>2015</v>
      </c>
      <c r="F262" s="6">
        <v>16600</v>
      </c>
      <c r="G262" s="6" t="str">
        <f>VLOOKUP(F262,'4-Actor Codes'!$A$1:$B$622,2,FALSE)</f>
        <v>O'Shea Jackson, Jr.</v>
      </c>
      <c r="H262" s="8" t="s">
        <v>10</v>
      </c>
      <c r="I262" s="9">
        <v>161058685</v>
      </c>
      <c r="J262" s="10">
        <v>38963601</v>
      </c>
      <c r="L262" s="10">
        <v>28000000</v>
      </c>
      <c r="M262" s="13"/>
      <c r="N262" s="13"/>
      <c r="O262" s="13"/>
      <c r="P262" s="13"/>
    </row>
    <row r="263" spans="1:16" ht="31" x14ac:dyDescent="0.35">
      <c r="A263" s="5">
        <v>262</v>
      </c>
      <c r="B263" s="6" t="s">
        <v>272</v>
      </c>
      <c r="C263" s="7">
        <v>10</v>
      </c>
      <c r="D263" s="7" t="str">
        <f>VLOOKUP(C263,'5-Genre Codes'!$A$1:$B$11,2,FALSE)</f>
        <v>Contemporary Fiction</v>
      </c>
      <c r="E263" s="8">
        <v>2002</v>
      </c>
      <c r="F263" s="6">
        <v>15430</v>
      </c>
      <c r="G263" s="6" t="str">
        <f>VLOOKUP(F263,'4-Actor Codes'!$A$1:$B$622,2,FALSE)</f>
        <v>Madonna</v>
      </c>
      <c r="H263" s="8" t="s">
        <v>13</v>
      </c>
      <c r="I263" s="9">
        <v>160932247</v>
      </c>
      <c r="J263" s="10">
        <v>271000000</v>
      </c>
      <c r="L263" s="10">
        <v>142000000</v>
      </c>
      <c r="M263" s="13"/>
      <c r="N263" s="13"/>
      <c r="O263" s="13"/>
      <c r="P263" s="13"/>
    </row>
    <row r="264" spans="1:16" ht="31" x14ac:dyDescent="0.35">
      <c r="A264" s="5">
        <v>263</v>
      </c>
      <c r="B264" s="6" t="s">
        <v>273</v>
      </c>
      <c r="C264" s="7">
        <v>50</v>
      </c>
      <c r="D264" s="7" t="str">
        <f>VLOOKUP(C264,'5-Genre Codes'!$A$1:$B$11,2,FALSE)</f>
        <v>Historical Fiction</v>
      </c>
      <c r="E264" s="8">
        <v>1973</v>
      </c>
      <c r="F264" s="6">
        <v>16780</v>
      </c>
      <c r="G264" s="6" t="str">
        <f>VLOOKUP(F264,'4-Actor Codes'!$A$1:$B$622,2,FALSE)</f>
        <v>Paul Newman</v>
      </c>
      <c r="H264" s="8" t="s">
        <v>10</v>
      </c>
      <c r="I264" s="9">
        <v>159616327</v>
      </c>
      <c r="J264" s="10">
        <v>0</v>
      </c>
      <c r="K264" s="11" t="s">
        <v>1010</v>
      </c>
      <c r="L264" s="10">
        <v>5500000</v>
      </c>
      <c r="M264" s="13"/>
      <c r="N264" s="13"/>
      <c r="O264" s="13"/>
      <c r="P264" s="13"/>
    </row>
    <row r="265" spans="1:16" ht="31" x14ac:dyDescent="0.35">
      <c r="A265" s="5">
        <v>264</v>
      </c>
      <c r="B265" s="6" t="s">
        <v>274</v>
      </c>
      <c r="C265" s="7">
        <v>10</v>
      </c>
      <c r="D265" s="7" t="str">
        <f>VLOOKUP(C265,'5-Genre Codes'!$A$1:$B$11,2,FALSE)</f>
        <v>Contemporary Fiction</v>
      </c>
      <c r="E265" s="8">
        <v>2013</v>
      </c>
      <c r="F265" s="6">
        <v>17770</v>
      </c>
      <c r="G265" s="6" t="str">
        <f>VLOOKUP(F265,'4-Actor Codes'!$A$1:$B$622,2,FALSE)</f>
        <v>Sandra Bullock</v>
      </c>
      <c r="H265" s="8" t="s">
        <v>10</v>
      </c>
      <c r="I265" s="9">
        <v>159581587</v>
      </c>
      <c r="J265" s="10">
        <v>70146187</v>
      </c>
      <c r="L265" s="10">
        <v>43000000</v>
      </c>
      <c r="M265" s="13"/>
      <c r="N265" s="13"/>
      <c r="O265" s="13"/>
      <c r="P265" s="13"/>
    </row>
    <row r="266" spans="1:16" ht="31" x14ac:dyDescent="0.35">
      <c r="A266" s="5">
        <v>265</v>
      </c>
      <c r="B266" s="6" t="s">
        <v>275</v>
      </c>
      <c r="C266" s="7">
        <v>10</v>
      </c>
      <c r="D266" s="7" t="str">
        <f>VLOOKUP(C266,'5-Genre Codes'!$A$1:$B$11,2,FALSE)</f>
        <v>Contemporary Fiction</v>
      </c>
      <c r="E266" s="8">
        <v>1993</v>
      </c>
      <c r="F266" s="6">
        <v>18700</v>
      </c>
      <c r="G266" s="6" t="str">
        <f>VLOOKUP(F266,'4-Actor Codes'!$A$1:$B$622,2,FALSE)</f>
        <v>Tobin Bell</v>
      </c>
      <c r="H266" s="8" t="s">
        <v>10</v>
      </c>
      <c r="I266" s="9">
        <v>158340892</v>
      </c>
      <c r="J266" s="10">
        <v>112000000</v>
      </c>
      <c r="L266" s="10">
        <v>42000000</v>
      </c>
      <c r="M266" s="13"/>
      <c r="N266" s="13"/>
      <c r="O266" s="13"/>
      <c r="P266" s="13"/>
    </row>
    <row r="267" spans="1:16" ht="31" x14ac:dyDescent="0.35">
      <c r="A267" s="5">
        <v>266</v>
      </c>
      <c r="B267" s="6" t="s">
        <v>276</v>
      </c>
      <c r="C267" s="7">
        <v>10</v>
      </c>
      <c r="D267" s="7" t="str">
        <f>VLOOKUP(C267,'5-Genre Codes'!$A$1:$B$11,2,FALSE)</f>
        <v>Contemporary Fiction</v>
      </c>
      <c r="E267" s="8">
        <v>2005</v>
      </c>
      <c r="F267" s="6">
        <v>10015</v>
      </c>
      <c r="G267" s="6" t="str">
        <f>VLOOKUP(F267,'4-Actor Codes'!$A$1:$B$622,2,FALSE)</f>
        <v>Adam Sandler</v>
      </c>
      <c r="H267" s="8" t="s">
        <v>10</v>
      </c>
      <c r="I267" s="9">
        <v>158119460</v>
      </c>
      <c r="J267" s="10">
        <v>32201108</v>
      </c>
      <c r="L267" s="10">
        <v>82000000</v>
      </c>
      <c r="M267" s="13"/>
      <c r="N267" s="13"/>
      <c r="O267" s="13"/>
      <c r="P267" s="13"/>
    </row>
    <row r="268" spans="1:16" ht="31" x14ac:dyDescent="0.35">
      <c r="A268" s="5">
        <v>267</v>
      </c>
      <c r="B268" s="6" t="s">
        <v>277</v>
      </c>
      <c r="C268" s="7">
        <v>90</v>
      </c>
      <c r="D268" s="7" t="str">
        <f>VLOOKUP(C268,'5-Genre Codes'!$A$1:$B$11,2,FALSE)</f>
        <v>Super Hero</v>
      </c>
      <c r="E268" s="8">
        <v>2000</v>
      </c>
      <c r="F268" s="6">
        <v>16660</v>
      </c>
      <c r="G268" s="6" t="str">
        <f>VLOOKUP(F268,'4-Actor Codes'!$A$1:$B$622,2,FALSE)</f>
        <v>Patrick Stewart</v>
      </c>
      <c r="H268" s="8" t="s">
        <v>10</v>
      </c>
      <c r="I268" s="9">
        <v>157299717</v>
      </c>
      <c r="J268" s="10">
        <v>284000000</v>
      </c>
      <c r="L268" s="10">
        <v>165000000</v>
      </c>
      <c r="M268" s="13"/>
      <c r="N268" s="13"/>
      <c r="O268" s="13"/>
      <c r="P268" s="13"/>
    </row>
    <row r="269" spans="1:16" ht="31" x14ac:dyDescent="0.35">
      <c r="A269" s="5">
        <v>268</v>
      </c>
      <c r="B269" s="6" t="s">
        <v>278</v>
      </c>
      <c r="C269" s="7">
        <v>10</v>
      </c>
      <c r="D269" s="7" t="str">
        <f>VLOOKUP(C269,'5-Genre Codes'!$A$1:$B$11,2,FALSE)</f>
        <v>Contemporary Fiction</v>
      </c>
      <c r="E269" s="8">
        <v>2000</v>
      </c>
      <c r="F269" s="6">
        <v>17950</v>
      </c>
      <c r="G269" s="6" t="str">
        <f>VLOOKUP(F269,'4-Actor Codes'!$A$1:$B$622,2,FALSE)</f>
        <v>Shannon Elizabeth</v>
      </c>
      <c r="H269" s="8" t="s">
        <v>10</v>
      </c>
      <c r="I269" s="9">
        <v>157019771</v>
      </c>
      <c r="J269" s="10">
        <v>120180229</v>
      </c>
      <c r="L269" s="10">
        <v>19000000</v>
      </c>
      <c r="M269" s="13"/>
      <c r="N269" s="13"/>
      <c r="O269" s="13"/>
      <c r="P269" s="13"/>
    </row>
    <row r="270" spans="1:16" ht="31" x14ac:dyDescent="0.35">
      <c r="A270" s="5">
        <v>269</v>
      </c>
      <c r="B270" s="6" t="s">
        <v>279</v>
      </c>
      <c r="C270" s="7">
        <v>10</v>
      </c>
      <c r="D270" s="7" t="str">
        <f>VLOOKUP(C270,'5-Genre Codes'!$A$1:$B$11,2,FALSE)</f>
        <v>Contemporary Fiction</v>
      </c>
      <c r="E270" s="8">
        <v>2000</v>
      </c>
      <c r="F270" s="6">
        <v>13120</v>
      </c>
      <c r="G270" s="6" t="str">
        <f>VLOOKUP(F270,'4-Actor Codes'!$A$1:$B$622,2,FALSE)</f>
        <v>Harrison Ford</v>
      </c>
      <c r="H270" s="8" t="s">
        <v>10</v>
      </c>
      <c r="I270" s="9">
        <v>155370362</v>
      </c>
      <c r="J270" s="10">
        <v>133229638</v>
      </c>
      <c r="L270" s="10">
        <v>90000000</v>
      </c>
      <c r="M270" s="13"/>
      <c r="N270" s="13"/>
      <c r="O270" s="13"/>
      <c r="P270" s="13"/>
    </row>
    <row r="271" spans="1:16" ht="31" x14ac:dyDescent="0.35">
      <c r="A271" s="5">
        <v>270</v>
      </c>
      <c r="B271" s="6" t="s">
        <v>280</v>
      </c>
      <c r="C271" s="7">
        <v>40</v>
      </c>
      <c r="D271" s="7" t="str">
        <f>VLOOKUP(C271,'5-Genre Codes'!$A$1:$B$11,2,FALSE)</f>
        <v>Fantasy</v>
      </c>
      <c r="E271" s="8">
        <v>1999</v>
      </c>
      <c r="F271" s="6">
        <v>11035</v>
      </c>
      <c r="G271" s="6" t="str">
        <f>VLOOKUP(F271,'4-Actor Codes'!$A$1:$B$622,2,FALSE)</f>
        <v>Brendan Fraser</v>
      </c>
      <c r="H271" s="8" t="s">
        <v>10</v>
      </c>
      <c r="I271" s="9">
        <v>155247825</v>
      </c>
      <c r="J271" s="10">
        <v>261000000</v>
      </c>
      <c r="L271" s="10">
        <v>80000000</v>
      </c>
      <c r="M271" s="13"/>
      <c r="N271" s="13"/>
      <c r="O271" s="13"/>
      <c r="P271" s="13"/>
    </row>
    <row r="272" spans="1:16" ht="31" x14ac:dyDescent="0.35">
      <c r="A272" s="5">
        <v>271</v>
      </c>
      <c r="B272" s="6" t="s">
        <v>281</v>
      </c>
      <c r="C272" s="7">
        <v>80</v>
      </c>
      <c r="D272" s="7" t="str">
        <f>VLOOKUP(C272,'5-Genre Codes'!$A$1:$B$11,2,FALSE)</f>
        <v>Science Fiction</v>
      </c>
      <c r="E272" s="8">
        <v>2015</v>
      </c>
      <c r="F272" s="6">
        <v>12355</v>
      </c>
      <c r="G272" s="6" t="str">
        <f>VLOOKUP(F272,'4-Actor Codes'!$A$1:$B$622,2,FALSE)</f>
        <v>Dwayne Johnson</v>
      </c>
      <c r="H272" s="8" t="s">
        <v>10</v>
      </c>
      <c r="I272" s="9">
        <v>155190832</v>
      </c>
      <c r="J272" s="10">
        <v>314400000</v>
      </c>
      <c r="L272" s="10">
        <v>110000000</v>
      </c>
      <c r="M272" s="13"/>
      <c r="N272" s="13"/>
      <c r="O272" s="13"/>
      <c r="P272" s="13"/>
    </row>
    <row r="273" spans="1:16" ht="31" x14ac:dyDescent="0.35">
      <c r="A273" s="5">
        <v>272</v>
      </c>
      <c r="B273" s="6" t="s">
        <v>282</v>
      </c>
      <c r="C273" s="7">
        <v>40</v>
      </c>
      <c r="D273" s="7" t="str">
        <f>VLOOKUP(C273,'5-Genre Codes'!$A$1:$B$11,2,FALSE)</f>
        <v>Fantasy</v>
      </c>
      <c r="E273" s="8">
        <v>2011</v>
      </c>
      <c r="F273" s="6">
        <v>15010</v>
      </c>
      <c r="G273" s="6" t="str">
        <f>VLOOKUP(F273,'4-Actor Codes'!$A$1:$B$622,2,FALSE)</f>
        <v>Kristen Stewart</v>
      </c>
      <c r="H273" s="8" t="s">
        <v>10</v>
      </c>
      <c r="I273" s="9">
        <v>155136755</v>
      </c>
      <c r="J273" s="10">
        <v>245880169</v>
      </c>
      <c r="L273" s="10">
        <v>170000000</v>
      </c>
      <c r="M273" s="13"/>
      <c r="N273" s="13"/>
      <c r="O273" s="13"/>
      <c r="P273" s="13"/>
    </row>
    <row r="274" spans="1:16" ht="31" x14ac:dyDescent="0.35">
      <c r="A274" s="5">
        <v>273</v>
      </c>
      <c r="B274" s="6" t="s">
        <v>283</v>
      </c>
      <c r="C274" s="7">
        <v>10</v>
      </c>
      <c r="D274" s="7" t="str">
        <f>VLOOKUP(C274,'5-Genre Codes'!$A$1:$B$11,2,FALSE)</f>
        <v>Contemporary Fiction</v>
      </c>
      <c r="E274" s="8">
        <v>2009</v>
      </c>
      <c r="F274" s="6">
        <v>18040</v>
      </c>
      <c r="G274" s="6" t="str">
        <f>VLOOKUP(F274,'4-Actor Codes'!$A$1:$B$622,2,FALSE)</f>
        <v>Shea Whigham</v>
      </c>
      <c r="H274" s="8" t="s">
        <v>13</v>
      </c>
      <c r="I274" s="9">
        <v>155064265</v>
      </c>
      <c r="J274" s="10">
        <v>208000000</v>
      </c>
      <c r="L274" s="10">
        <v>85000000</v>
      </c>
      <c r="M274" s="13"/>
      <c r="N274" s="13"/>
      <c r="O274" s="13"/>
      <c r="P274" s="13"/>
    </row>
    <row r="275" spans="1:16" x14ac:dyDescent="0.35">
      <c r="A275" s="5">
        <v>274</v>
      </c>
      <c r="B275" s="6" t="s">
        <v>284</v>
      </c>
      <c r="C275" s="7">
        <v>60</v>
      </c>
      <c r="D275" s="7" t="str">
        <f>VLOOKUP(C275,'5-Genre Codes'!$A$1:$B$11,2,FALSE)</f>
        <v>Kids Fiction</v>
      </c>
      <c r="E275" s="8">
        <v>2006</v>
      </c>
      <c r="F275" s="6">
        <v>11095</v>
      </c>
      <c r="G275" s="6" t="str">
        <f>VLOOKUP(F275,'4-Actor Codes'!$A$1:$B$622,2,FALSE)</f>
        <v>Bruce Willis</v>
      </c>
      <c r="H275" s="8" t="s">
        <v>10</v>
      </c>
      <c r="I275" s="9">
        <v>155019340</v>
      </c>
      <c r="J275" s="10">
        <v>180983641</v>
      </c>
      <c r="L275" s="10">
        <v>80000000</v>
      </c>
      <c r="M275" s="13"/>
      <c r="N275" s="13"/>
      <c r="O275" s="13"/>
      <c r="P275" s="13"/>
    </row>
    <row r="276" spans="1:16" x14ac:dyDescent="0.35">
      <c r="A276" s="5">
        <v>275</v>
      </c>
      <c r="B276" s="6" t="s">
        <v>285</v>
      </c>
      <c r="C276" s="7">
        <v>90</v>
      </c>
      <c r="D276" s="7" t="str">
        <f>VLOOKUP(C276,'5-Genre Codes'!$A$1:$B$11,2,FALSE)</f>
        <v>Super Hero</v>
      </c>
      <c r="E276" s="8">
        <v>2005</v>
      </c>
      <c r="F276" s="6">
        <v>18160</v>
      </c>
      <c r="G276" s="6" t="str">
        <f>VLOOKUP(F276,'4-Actor Codes'!$A$1:$B$622,2,FALSE)</f>
        <v>Stan Lee</v>
      </c>
      <c r="H276" s="8" t="s">
        <v>10</v>
      </c>
      <c r="I276" s="9">
        <v>154695569</v>
      </c>
      <c r="J276" s="10">
        <v>111000000</v>
      </c>
      <c r="L276" s="10">
        <v>120000000</v>
      </c>
      <c r="M276" s="13"/>
      <c r="N276" s="13"/>
      <c r="O276" s="13"/>
      <c r="P276" s="13"/>
    </row>
    <row r="277" spans="1:16" ht="31" x14ac:dyDescent="0.35">
      <c r="A277" s="5">
        <v>276</v>
      </c>
      <c r="B277" s="6" t="s">
        <v>286</v>
      </c>
      <c r="C277" s="7">
        <v>40</v>
      </c>
      <c r="D277" s="7" t="str">
        <f>VLOOKUP(C277,'5-Genre Codes'!$A$1:$B$11,2,FALSE)</f>
        <v>Fantasy</v>
      </c>
      <c r="E277" s="8">
        <v>2008</v>
      </c>
      <c r="F277" s="6">
        <v>16150</v>
      </c>
      <c r="G277" s="6" t="str">
        <f>VLOOKUP(F277,'4-Actor Codes'!$A$1:$B$622,2,FALSE)</f>
        <v>Mickie McGowan</v>
      </c>
      <c r="H277" s="8" t="s">
        <v>10</v>
      </c>
      <c r="I277" s="9">
        <v>154529439</v>
      </c>
      <c r="J277" s="10">
        <v>144948447</v>
      </c>
      <c r="L277" s="10">
        <v>85000000</v>
      </c>
      <c r="M277" s="13"/>
      <c r="N277" s="13"/>
      <c r="O277" s="13"/>
      <c r="P277" s="13"/>
    </row>
    <row r="278" spans="1:16" x14ac:dyDescent="0.35">
      <c r="A278" s="5">
        <v>277</v>
      </c>
      <c r="B278" s="6" t="s">
        <v>287</v>
      </c>
      <c r="C278" s="7">
        <v>80</v>
      </c>
      <c r="D278" s="7" t="str">
        <f>VLOOKUP(C278,'5-Genre Codes'!$A$1:$B$11,2,FALSE)</f>
        <v>Science Fiction</v>
      </c>
      <c r="E278" s="8">
        <v>2015</v>
      </c>
      <c r="F278" s="6">
        <v>18775</v>
      </c>
      <c r="G278" s="6" t="str">
        <f>VLOOKUP(F278,'4-Actor Codes'!$A$1:$B$622,2,FALSE)</f>
        <v>Tom Hardy</v>
      </c>
      <c r="H278" s="8" t="s">
        <v>13</v>
      </c>
      <c r="I278" s="9">
        <v>153636354</v>
      </c>
      <c r="J278" s="10">
        <v>219500000</v>
      </c>
      <c r="L278" s="10">
        <v>150000000</v>
      </c>
      <c r="M278" s="13"/>
      <c r="N278" s="13"/>
      <c r="O278" s="13"/>
      <c r="P278" s="13"/>
    </row>
    <row r="279" spans="1:16" ht="31" x14ac:dyDescent="0.35">
      <c r="A279" s="5">
        <v>278</v>
      </c>
      <c r="B279" s="6" t="s">
        <v>288</v>
      </c>
      <c r="C279" s="7">
        <v>10</v>
      </c>
      <c r="D279" s="7" t="str">
        <f>VLOOKUP(C279,'5-Genre Codes'!$A$1:$B$11,2,FALSE)</f>
        <v>Contemporary Fiction</v>
      </c>
      <c r="E279" s="8">
        <v>1996</v>
      </c>
      <c r="F279" s="6">
        <v>14410</v>
      </c>
      <c r="G279" s="6" t="str">
        <f>VLOOKUP(F279,'4-Actor Codes'!$A$1:$B$622,2,FALSE)</f>
        <v>Jordan Ross</v>
      </c>
      <c r="H279" s="8" t="s">
        <v>10</v>
      </c>
      <c r="I279" s="9">
        <v>153620822</v>
      </c>
      <c r="J279" s="10">
        <v>120047408</v>
      </c>
      <c r="L279" s="10">
        <v>50000000</v>
      </c>
      <c r="M279" s="13"/>
      <c r="N279" s="13"/>
      <c r="O279" s="13"/>
      <c r="P279" s="13"/>
    </row>
    <row r="280" spans="1:16" ht="31" x14ac:dyDescent="0.35">
      <c r="A280" s="5">
        <v>279</v>
      </c>
      <c r="B280" s="6" t="s">
        <v>289</v>
      </c>
      <c r="C280" s="7">
        <v>60</v>
      </c>
      <c r="D280" s="7" t="str">
        <f>VLOOKUP(C280,'5-Genre Codes'!$A$1:$B$11,2,FALSE)</f>
        <v>Kids Fiction</v>
      </c>
      <c r="E280" s="8">
        <v>2002</v>
      </c>
      <c r="F280" s="6">
        <v>15790</v>
      </c>
      <c r="G280" s="6" t="str">
        <f>VLOOKUP(F280,'4-Actor Codes'!$A$1:$B$622,2,FALSE)</f>
        <v>Matthew Lillard</v>
      </c>
      <c r="H280" s="8" t="s">
        <v>10</v>
      </c>
      <c r="I280" s="9">
        <v>153294164</v>
      </c>
      <c r="J280" s="10">
        <v>123000000</v>
      </c>
      <c r="L280" s="10">
        <v>84000000</v>
      </c>
      <c r="M280" s="13"/>
      <c r="N280" s="13"/>
      <c r="O280" s="13"/>
      <c r="P280" s="13"/>
    </row>
    <row r="281" spans="1:16" ht="31" x14ac:dyDescent="0.35">
      <c r="A281" s="5">
        <v>280</v>
      </c>
      <c r="B281" s="6" t="s">
        <v>290</v>
      </c>
      <c r="C281" s="7">
        <v>10</v>
      </c>
      <c r="D281" s="7" t="str">
        <f>VLOOKUP(C281,'5-Genre Codes'!$A$1:$B$11,2,FALSE)</f>
        <v>Contemporary Fiction</v>
      </c>
      <c r="E281" s="8">
        <v>1961</v>
      </c>
      <c r="F281" s="6">
        <v>17455</v>
      </c>
      <c r="G281" s="6" t="str">
        <f>VLOOKUP(F281,'4-Actor Codes'!$A$1:$B$622,2,FALSE)</f>
        <v>Rod Taylor</v>
      </c>
      <c r="H281" s="8" t="s">
        <v>10</v>
      </c>
      <c r="I281" s="9">
        <v>153000000</v>
      </c>
      <c r="J281" s="10">
        <v>0</v>
      </c>
      <c r="L281" s="10">
        <v>0</v>
      </c>
      <c r="M281" s="13"/>
      <c r="N281" s="13"/>
      <c r="O281" s="13"/>
      <c r="P281" s="13"/>
    </row>
    <row r="282" spans="1:16" ht="31" x14ac:dyDescent="0.35">
      <c r="A282" s="5">
        <v>281</v>
      </c>
      <c r="B282" s="6" t="s">
        <v>291</v>
      </c>
      <c r="C282" s="7">
        <v>10</v>
      </c>
      <c r="D282" s="7" t="str">
        <f>VLOOKUP(C282,'5-Genre Codes'!$A$1:$B$11,2,FALSE)</f>
        <v>Contemporary Fiction</v>
      </c>
      <c r="E282" s="8">
        <v>1987</v>
      </c>
      <c r="F282" s="6">
        <v>10165</v>
      </c>
      <c r="G282" s="6" t="str">
        <f>VLOOKUP(F282,'4-Actor Codes'!$A$1:$B$622,2,FALSE)</f>
        <v>Allen Garfield</v>
      </c>
      <c r="H282" s="8" t="s">
        <v>13</v>
      </c>
      <c r="I282" s="9">
        <v>152932902</v>
      </c>
      <c r="J282" s="10">
        <v>123000000</v>
      </c>
      <c r="L282" s="10">
        <v>20000000</v>
      </c>
      <c r="M282" s="13"/>
      <c r="N282" s="13"/>
      <c r="O282" s="13"/>
      <c r="P282" s="13"/>
    </row>
    <row r="283" spans="1:16" ht="46.5" x14ac:dyDescent="0.35">
      <c r="A283" s="5">
        <v>282</v>
      </c>
      <c r="B283" s="6" t="s">
        <v>292</v>
      </c>
      <c r="C283" s="7">
        <v>10</v>
      </c>
      <c r="D283" s="7" t="str">
        <f>VLOOKUP(C283,'5-Genre Codes'!$A$1:$B$11,2,FALSE)</f>
        <v>Contemporary Fiction</v>
      </c>
      <c r="E283" s="8">
        <v>2008</v>
      </c>
      <c r="F283" s="6">
        <v>17800</v>
      </c>
      <c r="G283" s="6" t="str">
        <f>VLOOKUP(F283,'4-Actor Codes'!$A$1:$B$622,2,FALSE)</f>
        <v>Sarah Jessica Parker</v>
      </c>
      <c r="H283" s="8" t="s">
        <v>10</v>
      </c>
      <c r="I283" s="9">
        <v>152647258</v>
      </c>
      <c r="J283" s="10">
        <v>262600000</v>
      </c>
      <c r="L283" s="10">
        <v>57500000</v>
      </c>
      <c r="M283" s="13"/>
      <c r="N283" s="13"/>
      <c r="O283" s="13"/>
      <c r="P283" s="13"/>
    </row>
    <row r="284" spans="1:16" ht="31" x14ac:dyDescent="0.35">
      <c r="A284" s="5">
        <v>283</v>
      </c>
      <c r="B284" s="6" t="s">
        <v>293</v>
      </c>
      <c r="C284" s="7">
        <v>10</v>
      </c>
      <c r="D284" s="7" t="str">
        <f>VLOOKUP(C284,'5-Genre Codes'!$A$1:$B$11,2,FALSE)</f>
        <v>Contemporary Fiction</v>
      </c>
      <c r="E284" s="8">
        <v>1999</v>
      </c>
      <c r="F284" s="6">
        <v>14530</v>
      </c>
      <c r="G284" s="6" t="str">
        <f>VLOOKUP(F284,'4-Actor Codes'!$A$1:$B$622,2,FALSE)</f>
        <v>Julia Roberts</v>
      </c>
      <c r="H284" s="8" t="s">
        <v>10</v>
      </c>
      <c r="I284" s="9">
        <v>152149590</v>
      </c>
      <c r="J284" s="10">
        <v>157880669</v>
      </c>
      <c r="L284" s="10">
        <v>70000000</v>
      </c>
      <c r="M284" s="13"/>
      <c r="N284" s="13"/>
      <c r="O284" s="13"/>
      <c r="P284" s="13"/>
    </row>
    <row r="285" spans="1:16" x14ac:dyDescent="0.35">
      <c r="A285" s="5">
        <v>284</v>
      </c>
      <c r="B285" s="6" t="s">
        <v>294</v>
      </c>
      <c r="C285" s="7">
        <v>40</v>
      </c>
      <c r="D285" s="7" t="str">
        <f>VLOOKUP(C285,'5-Genre Codes'!$A$1:$B$11,2,FALSE)</f>
        <v>Fantasy</v>
      </c>
      <c r="E285" s="8">
        <v>1988</v>
      </c>
      <c r="F285" s="6">
        <v>10885</v>
      </c>
      <c r="G285" s="6" t="str">
        <f>VLOOKUP(F285,'4-Actor Codes'!$A$1:$B$622,2,FALSE)</f>
        <v>Bob Hoskins</v>
      </c>
      <c r="H285" s="8" t="s">
        <v>10</v>
      </c>
      <c r="I285" s="9">
        <v>151931137</v>
      </c>
      <c r="J285" s="10">
        <v>197387508</v>
      </c>
      <c r="L285" s="10">
        <v>70000000</v>
      </c>
      <c r="M285" s="13"/>
      <c r="N285" s="13"/>
      <c r="O285" s="13"/>
      <c r="P285" s="13"/>
    </row>
    <row r="286" spans="1:16" ht="31" x14ac:dyDescent="0.35">
      <c r="A286" s="5">
        <v>285</v>
      </c>
      <c r="B286" s="6" t="s">
        <v>295</v>
      </c>
      <c r="C286" s="7">
        <v>80</v>
      </c>
      <c r="D286" s="7" t="str">
        <f>VLOOKUP(C286,'5-Genre Codes'!$A$1:$B$11,2,FALSE)</f>
        <v>Science Fiction</v>
      </c>
      <c r="E286" s="8">
        <v>2014</v>
      </c>
      <c r="F286" s="6">
        <v>17935</v>
      </c>
      <c r="G286" s="6" t="str">
        <f>VLOOKUP(F286,'4-Actor Codes'!$A$1:$B$622,2,FALSE)</f>
        <v>Shailene Woodley</v>
      </c>
      <c r="H286" s="8" t="s">
        <v>10</v>
      </c>
      <c r="I286" s="9">
        <v>150947895</v>
      </c>
      <c r="J286" s="10">
        <v>125067070</v>
      </c>
      <c r="L286" s="10">
        <v>85000000</v>
      </c>
      <c r="M286" s="13"/>
      <c r="N286" s="13"/>
      <c r="O286" s="13"/>
      <c r="P286" s="13"/>
    </row>
    <row r="287" spans="1:16" ht="31" x14ac:dyDescent="0.35">
      <c r="A287" s="5">
        <v>286</v>
      </c>
      <c r="B287" s="6" t="s">
        <v>296</v>
      </c>
      <c r="C287" s="7">
        <v>10</v>
      </c>
      <c r="D287" s="7" t="str">
        <f>VLOOKUP(C287,'5-Genre Codes'!$A$1:$B$11,2,FALSE)</f>
        <v>Contemporary Fiction</v>
      </c>
      <c r="E287" s="8">
        <v>1985</v>
      </c>
      <c r="F287" s="6">
        <v>18385</v>
      </c>
      <c r="G287" s="6" t="str">
        <f>VLOOKUP(F287,'4-Actor Codes'!$A$1:$B$622,2,FALSE)</f>
        <v>Sylvester Stallone</v>
      </c>
      <c r="H287" s="8" t="s">
        <v>13</v>
      </c>
      <c r="I287" s="9">
        <v>150415432</v>
      </c>
      <c r="J287" s="10">
        <v>149984568</v>
      </c>
      <c r="L287" s="10">
        <v>44000000</v>
      </c>
      <c r="M287" s="13"/>
      <c r="N287" s="13"/>
      <c r="O287" s="13"/>
      <c r="P287" s="13"/>
    </row>
    <row r="288" spans="1:16" ht="31" x14ac:dyDescent="0.35">
      <c r="A288" s="5">
        <v>287</v>
      </c>
      <c r="B288" s="6" t="s">
        <v>297</v>
      </c>
      <c r="C288" s="7">
        <v>10</v>
      </c>
      <c r="D288" s="7" t="str">
        <f>VLOOKUP(C288,'5-Genre Codes'!$A$1:$B$11,2,FALSE)</f>
        <v>Contemporary Fiction</v>
      </c>
      <c r="E288" s="8">
        <v>2013</v>
      </c>
      <c r="F288" s="6">
        <v>19150</v>
      </c>
      <c r="G288" s="6" t="str">
        <f>VLOOKUP(F288,'4-Actor Codes'!$A$1:$B$622,2,FALSE)</f>
        <v>Will Poulter</v>
      </c>
      <c r="H288" s="8" t="s">
        <v>10</v>
      </c>
      <c r="I288" s="9">
        <v>150394119</v>
      </c>
      <c r="J288" s="10">
        <v>117422157</v>
      </c>
      <c r="L288" s="10">
        <v>37000000</v>
      </c>
      <c r="M288" s="13"/>
      <c r="N288" s="13"/>
      <c r="O288" s="13"/>
      <c r="P288" s="13"/>
    </row>
    <row r="289" spans="1:16" ht="46.5" x14ac:dyDescent="0.35">
      <c r="A289" s="5">
        <v>288</v>
      </c>
      <c r="B289" s="6" t="s">
        <v>298</v>
      </c>
      <c r="C289" s="7">
        <v>80</v>
      </c>
      <c r="D289" s="7" t="str">
        <f>VLOOKUP(C289,'5-Genre Codes'!$A$1:$B$11,2,FALSE)</f>
        <v>Science Fiction</v>
      </c>
      <c r="E289" s="8">
        <v>2003</v>
      </c>
      <c r="F289" s="6">
        <v>10525</v>
      </c>
      <c r="G289" s="6" t="str">
        <f>VLOOKUP(F289,'4-Actor Codes'!$A$1:$B$622,2,FALSE)</f>
        <v>Arnold Schwarzenegger</v>
      </c>
      <c r="H289" s="8" t="s">
        <v>13</v>
      </c>
      <c r="I289" s="9">
        <v>150358296</v>
      </c>
      <c r="J289" s="10">
        <v>282700000</v>
      </c>
      <c r="L289" s="10">
        <v>170000000</v>
      </c>
      <c r="M289" s="13"/>
      <c r="N289" s="13"/>
      <c r="O289" s="13"/>
      <c r="P289" s="13"/>
    </row>
    <row r="290" spans="1:16" ht="31" x14ac:dyDescent="0.35">
      <c r="A290" s="5">
        <v>289</v>
      </c>
      <c r="B290" s="6" t="s">
        <v>299</v>
      </c>
      <c r="C290" s="7">
        <v>10</v>
      </c>
      <c r="D290" s="7" t="str">
        <f>VLOOKUP(C290,'5-Genre Codes'!$A$1:$B$11,2,FALSE)</f>
        <v>Contemporary Fiction</v>
      </c>
      <c r="E290" s="8">
        <v>2009</v>
      </c>
      <c r="F290" s="6">
        <v>11125</v>
      </c>
      <c r="G290" s="6" t="str">
        <f>VLOOKUP(F290,'4-Actor Codes'!$A$1:$B$622,2,FALSE)</f>
        <v>Byung-hun Lee</v>
      </c>
      <c r="H290" s="8" t="s">
        <v>10</v>
      </c>
      <c r="I290" s="9">
        <v>150201498</v>
      </c>
      <c r="J290" s="10">
        <v>152267519</v>
      </c>
      <c r="L290" s="10">
        <v>175000000</v>
      </c>
      <c r="M290" s="13"/>
      <c r="N290" s="13"/>
      <c r="O290" s="13"/>
      <c r="P290" s="13"/>
    </row>
    <row r="291" spans="1:16" ht="31" x14ac:dyDescent="0.35">
      <c r="A291" s="5">
        <v>290</v>
      </c>
      <c r="B291" s="6" t="s">
        <v>300</v>
      </c>
      <c r="C291" s="7">
        <v>20</v>
      </c>
      <c r="D291" s="7" t="str">
        <f>VLOOKUP(C291,'5-Genre Codes'!$A$1:$B$11,2,FALSE)</f>
        <v>Dramatization</v>
      </c>
      <c r="E291" s="8">
        <v>2013</v>
      </c>
      <c r="F291" s="6">
        <v>10945</v>
      </c>
      <c r="G291" s="6" t="str">
        <f>VLOOKUP(F291,'4-Actor Codes'!$A$1:$B$622,2,FALSE)</f>
        <v>Bradley Cooper</v>
      </c>
      <c r="H291" s="8" t="s">
        <v>10</v>
      </c>
      <c r="I291" s="9">
        <v>150117807</v>
      </c>
      <c r="J291" s="10">
        <v>107760487</v>
      </c>
      <c r="L291" s="10">
        <v>40000000</v>
      </c>
      <c r="M291" s="13"/>
      <c r="N291" s="13"/>
      <c r="O291" s="13"/>
      <c r="P291" s="13"/>
    </row>
    <row r="292" spans="1:16" ht="31" x14ac:dyDescent="0.35">
      <c r="A292" s="5">
        <v>291</v>
      </c>
      <c r="B292" s="6" t="s">
        <v>301</v>
      </c>
      <c r="C292" s="7">
        <v>10</v>
      </c>
      <c r="D292" s="7" t="str">
        <f>VLOOKUP(C292,'5-Genre Codes'!$A$1:$B$11,2,FALSE)</f>
        <v>Contemporary Fiction</v>
      </c>
      <c r="E292" s="8">
        <v>2013</v>
      </c>
      <c r="F292" s="6">
        <v>17920</v>
      </c>
      <c r="G292" s="6" t="str">
        <f>VLOOKUP(F292,'4-Actor Codes'!$A$1:$B$622,2,FALSE)</f>
        <v>Seth Rogen</v>
      </c>
      <c r="H292" s="8" t="s">
        <v>10</v>
      </c>
      <c r="I292" s="9">
        <v>150086800</v>
      </c>
      <c r="J292" s="10">
        <v>120507734</v>
      </c>
      <c r="L292" s="10">
        <v>18000000</v>
      </c>
      <c r="M292" s="13"/>
      <c r="N292" s="13"/>
      <c r="O292" s="13"/>
      <c r="P292" s="13"/>
    </row>
    <row r="293" spans="1:16" ht="31" x14ac:dyDescent="0.35">
      <c r="A293" s="5">
        <v>292</v>
      </c>
      <c r="B293" s="6" t="s">
        <v>302</v>
      </c>
      <c r="C293" s="7">
        <v>60</v>
      </c>
      <c r="D293" s="7" t="str">
        <f>VLOOKUP(C293,'5-Genre Codes'!$A$1:$B$11,2,FALSE)</f>
        <v>Kids Fiction</v>
      </c>
      <c r="E293" s="8">
        <v>2011</v>
      </c>
      <c r="F293" s="6">
        <v>10495</v>
      </c>
      <c r="G293" s="6" t="str">
        <f>VLOOKUP(F293,'4-Actor Codes'!$A$1:$B$622,2,FALSE)</f>
        <v>Antonio Banderas</v>
      </c>
      <c r="H293" s="8" t="s">
        <v>10</v>
      </c>
      <c r="I293" s="9">
        <v>149260504</v>
      </c>
      <c r="J293" s="10">
        <v>405726973</v>
      </c>
      <c r="L293" s="10">
        <v>130000000</v>
      </c>
      <c r="M293" s="13"/>
      <c r="N293" s="13"/>
      <c r="O293" s="13"/>
      <c r="P293" s="13"/>
    </row>
    <row r="294" spans="1:16" ht="31" x14ac:dyDescent="0.35">
      <c r="A294" s="5">
        <v>293</v>
      </c>
      <c r="B294" s="6" t="s">
        <v>303</v>
      </c>
      <c r="C294" s="7">
        <v>50</v>
      </c>
      <c r="D294" s="7" t="str">
        <f>VLOOKUP(C294,'5-Genre Codes'!$A$1:$B$11,2,FALSE)</f>
        <v>Historical Fiction</v>
      </c>
      <c r="E294" s="8">
        <v>2012</v>
      </c>
      <c r="F294" s="6">
        <v>13270</v>
      </c>
      <c r="G294" s="6" t="str">
        <f>VLOOKUP(F294,'4-Actor Codes'!$A$1:$B$622,2,FALSE)</f>
        <v>Hugh Jackman</v>
      </c>
      <c r="H294" s="8" t="s">
        <v>10</v>
      </c>
      <c r="I294" s="9">
        <v>148809770</v>
      </c>
      <c r="J294" s="10">
        <v>293359282</v>
      </c>
      <c r="L294" s="10">
        <v>65000000</v>
      </c>
      <c r="M294" s="13"/>
      <c r="N294" s="13"/>
      <c r="O294" s="13"/>
      <c r="P294" s="13"/>
    </row>
    <row r="295" spans="1:16" ht="31" x14ac:dyDescent="0.35">
      <c r="A295" s="5">
        <v>294</v>
      </c>
      <c r="B295" s="6" t="s">
        <v>304</v>
      </c>
      <c r="C295" s="7">
        <v>10</v>
      </c>
      <c r="D295" s="7" t="str">
        <f>VLOOKUP(C295,'5-Genre Codes'!$A$1:$B$11,2,FALSE)</f>
        <v>Contemporary Fiction</v>
      </c>
      <c r="E295" s="8">
        <v>2007</v>
      </c>
      <c r="F295" s="6">
        <v>15025</v>
      </c>
      <c r="G295" s="6" t="str">
        <f>VLOOKUP(F295,'4-Actor Codes'!$A$1:$B$622,2,FALSE)</f>
        <v>Kristen Wiig</v>
      </c>
      <c r="H295" s="8" t="s">
        <v>10</v>
      </c>
      <c r="I295" s="9">
        <v>148761765</v>
      </c>
      <c r="J295" s="10">
        <v>70504187</v>
      </c>
      <c r="L295" s="10">
        <v>27500000</v>
      </c>
      <c r="M295" s="13"/>
      <c r="N295" s="13"/>
      <c r="O295" s="13"/>
      <c r="P295" s="13"/>
    </row>
    <row r="296" spans="1:16" ht="31" x14ac:dyDescent="0.35">
      <c r="A296" s="5">
        <v>295</v>
      </c>
      <c r="B296" s="6" t="s">
        <v>305</v>
      </c>
      <c r="C296" s="7">
        <v>10</v>
      </c>
      <c r="D296" s="7" t="str">
        <f>VLOOKUP(C296,'5-Genre Codes'!$A$1:$B$11,2,FALSE)</f>
        <v>Contemporary Fiction</v>
      </c>
      <c r="E296" s="8">
        <v>1987</v>
      </c>
      <c r="F296" s="6">
        <v>16195</v>
      </c>
      <c r="G296" s="6" t="str">
        <f>VLOOKUP(F296,'4-Actor Codes'!$A$1:$B$622,2,FALSE)</f>
        <v>Mike Nussbaum</v>
      </c>
      <c r="H296" s="8" t="s">
        <v>10</v>
      </c>
      <c r="I296" s="9">
        <v>148453989</v>
      </c>
      <c r="J296" s="10">
        <v>163454307</v>
      </c>
      <c r="L296" s="10">
        <v>14000000</v>
      </c>
      <c r="M296" s="13"/>
      <c r="N296" s="13"/>
      <c r="O296" s="13"/>
      <c r="P296" s="13"/>
    </row>
    <row r="297" spans="1:16" ht="31" x14ac:dyDescent="0.35">
      <c r="A297" s="5">
        <v>296</v>
      </c>
      <c r="B297" s="6" t="s">
        <v>306</v>
      </c>
      <c r="C297" s="7">
        <v>10</v>
      </c>
      <c r="D297" s="7" t="str">
        <f>VLOOKUP(C297,'5-Genre Codes'!$A$1:$B$11,2,FALSE)</f>
        <v>Contemporary Fiction</v>
      </c>
      <c r="E297" s="8">
        <v>2010</v>
      </c>
      <c r="F297" s="6">
        <v>18505</v>
      </c>
      <c r="G297" s="6" t="str">
        <f>VLOOKUP(F297,'4-Actor Codes'!$A$1:$B$622,2,FALSE)</f>
        <v>Teri Polo</v>
      </c>
      <c r="H297" s="8" t="s">
        <v>13</v>
      </c>
      <c r="I297" s="9">
        <v>148438600</v>
      </c>
      <c r="J297" s="10">
        <v>162211974</v>
      </c>
      <c r="L297" s="10">
        <v>100000000</v>
      </c>
      <c r="M297" s="13"/>
      <c r="N297" s="13"/>
      <c r="O297" s="13"/>
      <c r="P297" s="13"/>
    </row>
    <row r="298" spans="1:16" x14ac:dyDescent="0.35">
      <c r="A298" s="5">
        <v>297</v>
      </c>
      <c r="B298" s="6" t="s">
        <v>307</v>
      </c>
      <c r="C298" s="7">
        <v>60</v>
      </c>
      <c r="D298" s="7" t="str">
        <f>VLOOKUP(C298,'5-Genre Codes'!$A$1:$B$11,2,FALSE)</f>
        <v>Kids Fiction</v>
      </c>
      <c r="E298" s="8">
        <v>2010</v>
      </c>
      <c r="F298" s="6">
        <v>19135</v>
      </c>
      <c r="G298" s="6" t="str">
        <f>VLOOKUP(F298,'4-Actor Codes'!$A$1:$B$622,2,FALSE)</f>
        <v>Will Ferrell</v>
      </c>
      <c r="H298" s="8" t="s">
        <v>10</v>
      </c>
      <c r="I298" s="9">
        <v>148415853</v>
      </c>
      <c r="J298" s="10">
        <v>173471355</v>
      </c>
      <c r="L298" s="10">
        <v>130000000</v>
      </c>
      <c r="M298" s="13"/>
      <c r="N298" s="13"/>
      <c r="O298" s="13"/>
      <c r="P298" s="13"/>
    </row>
    <row r="299" spans="1:16" ht="31" x14ac:dyDescent="0.35">
      <c r="A299" s="5">
        <v>298</v>
      </c>
      <c r="B299" s="6" t="s">
        <v>308</v>
      </c>
      <c r="C299" s="7">
        <v>60</v>
      </c>
      <c r="D299" s="7" t="str">
        <f>VLOOKUP(C299,'5-Genre Codes'!$A$1:$B$11,2,FALSE)</f>
        <v>Kids Fiction</v>
      </c>
      <c r="E299" s="8">
        <v>2011</v>
      </c>
      <c r="F299" s="6">
        <v>10015</v>
      </c>
      <c r="G299" s="6" t="str">
        <f>VLOOKUP(F299,'4-Actor Codes'!$A$1:$B$622,2,FALSE)</f>
        <v>Adam Sandler</v>
      </c>
      <c r="H299" s="8" t="s">
        <v>10</v>
      </c>
      <c r="I299" s="9">
        <v>148313048</v>
      </c>
      <c r="J299" s="10">
        <v>197594315</v>
      </c>
      <c r="L299" s="10">
        <v>85000000</v>
      </c>
      <c r="M299" s="13"/>
      <c r="N299" s="13"/>
      <c r="O299" s="13"/>
      <c r="P299" s="13"/>
    </row>
    <row r="300" spans="1:16" ht="31" x14ac:dyDescent="0.35">
      <c r="A300" s="5">
        <v>299</v>
      </c>
      <c r="B300" s="6" t="s">
        <v>309</v>
      </c>
      <c r="C300" s="7">
        <v>10</v>
      </c>
      <c r="D300" s="7" t="str">
        <f>VLOOKUP(C300,'5-Genre Codes'!$A$1:$B$11,2,FALSE)</f>
        <v>Contemporary Fiction</v>
      </c>
      <c r="E300" s="8">
        <v>2006</v>
      </c>
      <c r="F300" s="6">
        <v>14290</v>
      </c>
      <c r="G300" s="6" t="str">
        <f>VLOOKUP(F300,'4-Actor Codes'!$A$1:$B$622,2,FALSE)</f>
        <v>John C. Reilly</v>
      </c>
      <c r="H300" s="8" t="s">
        <v>10</v>
      </c>
      <c r="I300" s="9">
        <v>148213377</v>
      </c>
      <c r="J300" s="10">
        <v>14657148</v>
      </c>
      <c r="L300" s="10">
        <v>73000000</v>
      </c>
      <c r="M300" s="13"/>
      <c r="N300" s="13"/>
      <c r="O300" s="13"/>
      <c r="P300" s="13"/>
    </row>
    <row r="301" spans="1:16" x14ac:dyDescent="0.35">
      <c r="A301" s="5">
        <v>300</v>
      </c>
      <c r="B301" s="6" t="s">
        <v>310</v>
      </c>
      <c r="C301" s="7">
        <v>40</v>
      </c>
      <c r="D301" s="7" t="str">
        <f>VLOOKUP(C301,'5-Genre Codes'!$A$1:$B$11,2,FALSE)</f>
        <v>Fantasy</v>
      </c>
      <c r="E301" s="8">
        <v>1984</v>
      </c>
      <c r="F301" s="6">
        <v>12205</v>
      </c>
      <c r="G301" s="6" t="str">
        <f>VLOOKUP(F301,'4-Actor Codes'!$A$1:$B$622,2,FALSE)</f>
        <v>Dick Miller</v>
      </c>
      <c r="H301" s="8" t="s">
        <v>10</v>
      </c>
      <c r="I301" s="9">
        <v>148117285</v>
      </c>
      <c r="J301" s="10">
        <v>0</v>
      </c>
      <c r="L301" s="10">
        <v>11000000</v>
      </c>
      <c r="M301" s="13"/>
      <c r="N301" s="13"/>
      <c r="O301" s="13"/>
      <c r="P301" s="13"/>
    </row>
    <row r="302" spans="1:16" ht="31" x14ac:dyDescent="0.35">
      <c r="A302" s="5">
        <v>301</v>
      </c>
      <c r="B302" s="6" t="s">
        <v>311</v>
      </c>
      <c r="C302" s="7">
        <v>10</v>
      </c>
      <c r="D302" s="7" t="str">
        <f>VLOOKUP(C302,'5-Genre Codes'!$A$1:$B$11,2,FALSE)</f>
        <v>Contemporary Fiction</v>
      </c>
      <c r="E302" s="8">
        <v>2008</v>
      </c>
      <c r="F302" s="6">
        <v>11605</v>
      </c>
      <c r="G302" s="6" t="str">
        <f>VLOOKUP(F302,'4-Actor Codes'!$A$1:$B$622,2,FALSE)</f>
        <v>Clint Eastwood</v>
      </c>
      <c r="H302" s="8" t="s">
        <v>10</v>
      </c>
      <c r="I302" s="9">
        <v>148095302</v>
      </c>
      <c r="J302" s="10">
        <v>126447783</v>
      </c>
      <c r="L302" s="10">
        <v>25000000</v>
      </c>
      <c r="M302" s="13"/>
      <c r="N302" s="13"/>
      <c r="O302" s="13"/>
      <c r="P302" s="13"/>
    </row>
    <row r="303" spans="1:16" ht="31" x14ac:dyDescent="0.35">
      <c r="A303" s="5">
        <v>302</v>
      </c>
      <c r="B303" s="6" t="s">
        <v>312</v>
      </c>
      <c r="C303" s="7">
        <v>10</v>
      </c>
      <c r="D303" s="7" t="str">
        <f>VLOOKUP(C303,'5-Genre Codes'!$A$1:$B$11,2,FALSE)</f>
        <v>Contemporary Fiction</v>
      </c>
      <c r="E303" s="8">
        <v>1997</v>
      </c>
      <c r="F303" s="6">
        <v>15835</v>
      </c>
      <c r="G303" s="6" t="str">
        <f>VLOOKUP(F303,'4-Actor Codes'!$A$1:$B$622,2,FALSE)</f>
        <v>Maya Rudolph</v>
      </c>
      <c r="H303" s="8" t="s">
        <v>10</v>
      </c>
      <c r="I303" s="9">
        <v>147637474</v>
      </c>
      <c r="J303" s="10">
        <v>165633912</v>
      </c>
      <c r="L303" s="10">
        <v>50000000</v>
      </c>
      <c r="M303" s="13"/>
      <c r="N303" s="13"/>
      <c r="O303" s="13"/>
      <c r="P303" s="13"/>
    </row>
    <row r="304" spans="1:16" ht="31" x14ac:dyDescent="0.35">
      <c r="A304" s="5">
        <v>303</v>
      </c>
      <c r="B304" s="6" t="s">
        <v>313</v>
      </c>
      <c r="C304" s="7">
        <v>90</v>
      </c>
      <c r="D304" s="7" t="str">
        <f>VLOOKUP(C304,'5-Genre Codes'!$A$1:$B$11,2,FALSE)</f>
        <v>Super Hero</v>
      </c>
      <c r="E304" s="8">
        <v>2011</v>
      </c>
      <c r="F304" s="6">
        <v>13675</v>
      </c>
      <c r="G304" s="6" t="str">
        <f>VLOOKUP(F304,'4-Actor Codes'!$A$1:$B$622,2,FALSE)</f>
        <v>James McAvoy</v>
      </c>
      <c r="H304" s="8" t="s">
        <v>13</v>
      </c>
      <c r="I304" s="9">
        <v>146408305</v>
      </c>
      <c r="J304" s="10">
        <v>284000000</v>
      </c>
      <c r="L304" s="10">
        <v>165000000</v>
      </c>
      <c r="M304" s="13"/>
      <c r="N304" s="13"/>
      <c r="O304" s="13"/>
      <c r="P304" s="13"/>
    </row>
    <row r="305" spans="1:16" ht="31" x14ac:dyDescent="0.35">
      <c r="A305" s="5">
        <v>304</v>
      </c>
      <c r="B305" s="6" t="s">
        <v>314</v>
      </c>
      <c r="C305" s="7">
        <v>10</v>
      </c>
      <c r="D305" s="7" t="str">
        <f>VLOOKUP(C305,'5-Genre Codes'!$A$1:$B$11,2,FALSE)</f>
        <v>Contemporary Fiction</v>
      </c>
      <c r="E305" s="8">
        <v>2009</v>
      </c>
      <c r="F305" s="6">
        <v>14905</v>
      </c>
      <c r="G305" s="6" t="str">
        <f>VLOOKUP(F305,'4-Actor Codes'!$A$1:$B$622,2,FALSE)</f>
        <v>Kevin James</v>
      </c>
      <c r="H305" s="8" t="s">
        <v>10</v>
      </c>
      <c r="I305" s="9">
        <v>146336178</v>
      </c>
      <c r="J305" s="10">
        <v>39568572</v>
      </c>
      <c r="L305" s="10">
        <v>26000000</v>
      </c>
      <c r="M305" s="13"/>
      <c r="N305" s="13"/>
      <c r="O305" s="13"/>
      <c r="P305" s="13"/>
    </row>
    <row r="306" spans="1:16" ht="31" x14ac:dyDescent="0.35">
      <c r="A306" s="5">
        <v>305</v>
      </c>
      <c r="B306" s="6" t="s">
        <v>315</v>
      </c>
      <c r="C306" s="7">
        <v>10</v>
      </c>
      <c r="D306" s="7" t="str">
        <f>VLOOKUP(C306,'5-Genre Codes'!$A$1:$B$11,2,FALSE)</f>
        <v>Contemporary Fiction</v>
      </c>
      <c r="E306" s="8">
        <v>1994</v>
      </c>
      <c r="F306" s="6">
        <v>10840</v>
      </c>
      <c r="G306" s="6" t="str">
        <f>VLOOKUP(F306,'4-Actor Codes'!$A$1:$B$622,2,FALSE)</f>
        <v>Bill Paxton</v>
      </c>
      <c r="H306" s="8" t="s">
        <v>10</v>
      </c>
      <c r="I306" s="9">
        <v>146273950</v>
      </c>
      <c r="J306" s="10">
        <v>219017589</v>
      </c>
      <c r="L306" s="10">
        <v>100000000</v>
      </c>
      <c r="M306" s="13"/>
      <c r="N306" s="13"/>
      <c r="O306" s="13"/>
      <c r="P306" s="13"/>
    </row>
    <row r="307" spans="1:16" ht="31" x14ac:dyDescent="0.35">
      <c r="A307" s="5">
        <v>306</v>
      </c>
      <c r="B307" s="6" t="s">
        <v>316</v>
      </c>
      <c r="C307" s="7">
        <v>60</v>
      </c>
      <c r="D307" s="7" t="str">
        <f>VLOOKUP(C307,'5-Genre Codes'!$A$1:$B$11,2,FALSE)</f>
        <v>Kids Fiction</v>
      </c>
      <c r="E307" s="8">
        <v>2002</v>
      </c>
      <c r="F307" s="6">
        <v>11935</v>
      </c>
      <c r="G307" s="6" t="str">
        <f>VLOOKUP(F307,'4-Actor Codes'!$A$1:$B$622,2,FALSE)</f>
        <v>Daveigh Chase</v>
      </c>
      <c r="H307" s="8" t="s">
        <v>10</v>
      </c>
      <c r="I307" s="9">
        <v>145771527</v>
      </c>
      <c r="J307" s="10">
        <v>100028473</v>
      </c>
      <c r="L307" s="10">
        <v>80000000</v>
      </c>
      <c r="M307" s="13"/>
      <c r="N307" s="13"/>
      <c r="O307" s="13"/>
      <c r="P307" s="13"/>
    </row>
    <row r="308" spans="1:16" ht="31" x14ac:dyDescent="0.35">
      <c r="A308" s="5">
        <v>307</v>
      </c>
      <c r="B308" s="6" t="s">
        <v>317</v>
      </c>
      <c r="C308" s="7">
        <v>10</v>
      </c>
      <c r="D308" s="7" t="str">
        <f>VLOOKUP(C308,'5-Genre Codes'!$A$1:$B$11,2,FALSE)</f>
        <v>Contemporary Fiction</v>
      </c>
      <c r="E308" s="8">
        <v>2001</v>
      </c>
      <c r="F308" s="6">
        <v>18430</v>
      </c>
      <c r="G308" s="6" t="str">
        <f>VLOOKUP(F308,'4-Actor Codes'!$A$1:$B$622,2,FALSE)</f>
        <v>Tara Reid</v>
      </c>
      <c r="H308" s="8" t="s">
        <v>13</v>
      </c>
      <c r="I308" s="9">
        <v>145096820</v>
      </c>
      <c r="J308" s="10">
        <v>141403180</v>
      </c>
      <c r="L308" s="10">
        <v>30000000</v>
      </c>
      <c r="M308" s="13"/>
      <c r="N308" s="13"/>
      <c r="O308" s="13"/>
      <c r="P308" s="13"/>
    </row>
    <row r="309" spans="1:16" ht="31" x14ac:dyDescent="0.35">
      <c r="A309" s="5">
        <v>308</v>
      </c>
      <c r="B309" s="6" t="s">
        <v>318</v>
      </c>
      <c r="C309" s="7">
        <v>10</v>
      </c>
      <c r="D309" s="7" t="str">
        <f>VLOOKUP(C309,'5-Genre Codes'!$A$1:$B$11,2,FALSE)</f>
        <v>Contemporary Fiction</v>
      </c>
      <c r="E309" s="8">
        <v>2009</v>
      </c>
      <c r="F309" s="6">
        <v>15265</v>
      </c>
      <c r="G309" s="6" t="str">
        <f>VLOOKUP(F309,'4-Actor Codes'!$A$1:$B$622,2,FALSE)</f>
        <v>Liam Neeson</v>
      </c>
      <c r="H309" s="8" t="s">
        <v>10</v>
      </c>
      <c r="I309" s="9">
        <v>145000989</v>
      </c>
      <c r="J309" s="10">
        <v>81940596</v>
      </c>
      <c r="L309" s="10">
        <v>25000000</v>
      </c>
      <c r="M309" s="13"/>
      <c r="N309" s="13"/>
      <c r="O309" s="13"/>
      <c r="P309" s="13"/>
    </row>
    <row r="310" spans="1:16" ht="31" x14ac:dyDescent="0.35">
      <c r="A310" s="5">
        <v>309</v>
      </c>
      <c r="B310" s="6" t="s">
        <v>319</v>
      </c>
      <c r="C310" s="7">
        <v>50</v>
      </c>
      <c r="D310" s="7" t="str">
        <f>VLOOKUP(C310,'5-Genre Codes'!$A$1:$B$11,2,FALSE)</f>
        <v>Historical Fiction</v>
      </c>
      <c r="E310" s="8">
        <v>2012</v>
      </c>
      <c r="F310" s="6">
        <v>15205</v>
      </c>
      <c r="G310" s="6" t="str">
        <f>VLOOKUP(F310,'4-Actor Codes'!$A$1:$B$622,2,FALSE)</f>
        <v>Leonardo DiCaprio</v>
      </c>
      <c r="H310" s="8" t="s">
        <v>10</v>
      </c>
      <c r="I310" s="9">
        <v>144840419</v>
      </c>
      <c r="J310" s="10">
        <v>206200000</v>
      </c>
      <c r="L310" s="10">
        <v>190000000</v>
      </c>
      <c r="M310" s="13"/>
      <c r="N310" s="13"/>
      <c r="O310" s="13"/>
      <c r="P310" s="13"/>
    </row>
    <row r="311" spans="1:16" x14ac:dyDescent="0.35">
      <c r="A311" s="5">
        <v>310</v>
      </c>
      <c r="B311" s="6" t="s">
        <v>320</v>
      </c>
      <c r="C311" s="7">
        <v>80</v>
      </c>
      <c r="D311" s="7" t="str">
        <f>VLOOKUP(C311,'5-Genre Codes'!$A$1:$B$11,2,FALSE)</f>
        <v>Science Fiction</v>
      </c>
      <c r="E311" s="8">
        <v>2004</v>
      </c>
      <c r="F311" s="6">
        <v>10120</v>
      </c>
      <c r="G311" s="6" t="str">
        <f>VLOOKUP(F311,'4-Actor Codes'!$A$1:$B$622,2,FALSE)</f>
        <v>Alan Tudyk</v>
      </c>
      <c r="H311" s="8" t="s">
        <v>10</v>
      </c>
      <c r="I311" s="9">
        <v>144795350</v>
      </c>
      <c r="J311" s="10">
        <v>203828562</v>
      </c>
      <c r="L311" s="10">
        <v>105000000</v>
      </c>
      <c r="M311" s="13"/>
      <c r="N311" s="13"/>
      <c r="O311" s="13"/>
      <c r="P311" s="13"/>
    </row>
    <row r="312" spans="1:16" x14ac:dyDescent="0.35">
      <c r="A312" s="5">
        <v>311</v>
      </c>
      <c r="B312" s="6" t="s">
        <v>321</v>
      </c>
      <c r="C312" s="7">
        <v>60</v>
      </c>
      <c r="D312" s="7" t="str">
        <f>VLOOKUP(C312,'5-Genre Codes'!$A$1:$B$11,2,FALSE)</f>
        <v>Kids Fiction</v>
      </c>
      <c r="E312" s="8">
        <v>1994</v>
      </c>
      <c r="F312" s="6">
        <v>18580</v>
      </c>
      <c r="G312" s="6" t="str">
        <f>VLOOKUP(F312,'4-Actor Codes'!$A$1:$B$622,2,FALSE)</f>
        <v>Tim Allen</v>
      </c>
      <c r="H312" s="8" t="s">
        <v>10</v>
      </c>
      <c r="I312" s="9">
        <v>144700007</v>
      </c>
      <c r="J312" s="10">
        <v>44966643</v>
      </c>
      <c r="L312" s="10">
        <v>22000000</v>
      </c>
      <c r="M312" s="13"/>
      <c r="N312" s="13"/>
      <c r="O312" s="13"/>
      <c r="P312" s="13"/>
    </row>
    <row r="313" spans="1:16" ht="31" x14ac:dyDescent="0.35">
      <c r="A313" s="5">
        <v>312</v>
      </c>
      <c r="B313" s="6" t="s">
        <v>322</v>
      </c>
      <c r="C313" s="7">
        <v>10</v>
      </c>
      <c r="D313" s="7" t="str">
        <f>VLOOKUP(C313,'5-Genre Codes'!$A$1:$B$11,2,FALSE)</f>
        <v>Contemporary Fiction</v>
      </c>
      <c r="E313" s="8">
        <v>2001</v>
      </c>
      <c r="F313" s="6">
        <v>12640</v>
      </c>
      <c r="G313" s="6" t="str">
        <f>VLOOKUP(F313,'4-Actor Codes'!$A$1:$B$622,2,FALSE)</f>
        <v>F. Valentino Morales</v>
      </c>
      <c r="H313" s="8" t="s">
        <v>10</v>
      </c>
      <c r="I313" s="9">
        <v>144512310</v>
      </c>
      <c r="J313" s="10">
        <v>62000000</v>
      </c>
      <c r="L313" s="10">
        <v>38000000</v>
      </c>
      <c r="M313" s="13"/>
      <c r="N313" s="13"/>
      <c r="O313" s="13"/>
      <c r="P313" s="13"/>
    </row>
    <row r="314" spans="1:16" x14ac:dyDescent="0.35">
      <c r="A314" s="5">
        <v>313</v>
      </c>
      <c r="B314" s="6" t="s">
        <v>323</v>
      </c>
      <c r="C314" s="7">
        <v>60</v>
      </c>
      <c r="D314" s="7" t="str">
        <f>VLOOKUP(C314,'5-Genre Codes'!$A$1:$B$11,2,FALSE)</f>
        <v>Kids Fiction</v>
      </c>
      <c r="E314" s="8">
        <v>1998</v>
      </c>
      <c r="F314" s="6">
        <v>10720</v>
      </c>
      <c r="G314" s="6" t="str">
        <f>VLOOKUP(F314,'4-Actor Codes'!$A$1:$B$622,2,FALSE)</f>
        <v>Beth Grant</v>
      </c>
      <c r="H314" s="8" t="s">
        <v>10</v>
      </c>
      <c r="I314" s="9">
        <v>144156464</v>
      </c>
      <c r="J314" s="10">
        <v>150000000</v>
      </c>
      <c r="L314" s="10">
        <v>71500000</v>
      </c>
      <c r="M314" s="13"/>
      <c r="N314" s="13"/>
      <c r="O314" s="13"/>
      <c r="P314" s="13"/>
    </row>
    <row r="315" spans="1:16" ht="31" x14ac:dyDescent="0.35">
      <c r="A315" s="5">
        <v>314</v>
      </c>
      <c r="B315" s="6" t="s">
        <v>324</v>
      </c>
      <c r="C315" s="7">
        <v>10</v>
      </c>
      <c r="D315" s="7" t="str">
        <f>VLOOKUP(C315,'5-Genre Codes'!$A$1:$B$11,2,FALSE)</f>
        <v>Contemporary Fiction</v>
      </c>
      <c r="E315" s="8">
        <v>2008</v>
      </c>
      <c r="F315" s="6">
        <v>15910</v>
      </c>
      <c r="G315" s="6" t="str">
        <f>VLOOKUP(F315,'4-Actor Codes'!$A$1:$B$622,2,FALSE)</f>
        <v>Meryl Streep</v>
      </c>
      <c r="H315" s="8" t="s">
        <v>10</v>
      </c>
      <c r="I315" s="9">
        <v>143762955</v>
      </c>
      <c r="J315" s="10">
        <v>458370497</v>
      </c>
      <c r="L315" s="10">
        <v>52000000</v>
      </c>
      <c r="M315" s="13"/>
      <c r="N315" s="13"/>
      <c r="O315" s="13"/>
      <c r="P315" s="13"/>
    </row>
    <row r="316" spans="1:16" ht="31" x14ac:dyDescent="0.35">
      <c r="A316" s="5">
        <v>315</v>
      </c>
      <c r="B316" s="6" t="s">
        <v>325</v>
      </c>
      <c r="C316" s="7">
        <v>60</v>
      </c>
      <c r="D316" s="7" t="str">
        <f>VLOOKUP(C316,'5-Genre Codes'!$A$1:$B$11,2,FALSE)</f>
        <v>Kids Fiction</v>
      </c>
      <c r="E316" s="8">
        <v>2011</v>
      </c>
      <c r="F316" s="6">
        <v>10435</v>
      </c>
      <c r="G316" s="6" t="str">
        <f>VLOOKUP(F316,'4-Actor Codes'!$A$1:$B$622,2,FALSE)</f>
        <v>Anne Hathaway</v>
      </c>
      <c r="H316" s="8" t="s">
        <v>10</v>
      </c>
      <c r="I316" s="9">
        <v>143619809</v>
      </c>
      <c r="J316" s="10">
        <v>343900000</v>
      </c>
      <c r="L316" s="10">
        <v>90000000</v>
      </c>
      <c r="M316" s="13"/>
      <c r="N316" s="13"/>
      <c r="O316" s="13"/>
      <c r="P316" s="13"/>
    </row>
    <row r="317" spans="1:16" ht="31" x14ac:dyDescent="0.35">
      <c r="A317" s="5">
        <v>316</v>
      </c>
      <c r="B317" s="6" t="s">
        <v>326</v>
      </c>
      <c r="C317" s="7">
        <v>10</v>
      </c>
      <c r="D317" s="7" t="str">
        <f>VLOOKUP(C317,'5-Genre Codes'!$A$1:$B$11,2,FALSE)</f>
        <v>Contemporary Fiction</v>
      </c>
      <c r="E317" s="8">
        <v>2007</v>
      </c>
      <c r="F317" s="6">
        <v>13390</v>
      </c>
      <c r="G317" s="6" t="str">
        <f>VLOOKUP(F317,'4-Actor Codes'!$A$1:$B$622,2,FALSE)</f>
        <v>J.K. Simmons</v>
      </c>
      <c r="H317" s="8" t="s">
        <v>10</v>
      </c>
      <c r="I317" s="9">
        <v>143495265</v>
      </c>
      <c r="J317" s="10">
        <v>87954837</v>
      </c>
      <c r="L317" s="10">
        <v>7000000</v>
      </c>
      <c r="M317" s="13"/>
      <c r="N317" s="13"/>
      <c r="O317" s="13"/>
      <c r="P317" s="13"/>
    </row>
    <row r="318" spans="1:16" ht="31" x14ac:dyDescent="0.35">
      <c r="A318" s="5">
        <v>317</v>
      </c>
      <c r="B318" s="6" t="s">
        <v>327</v>
      </c>
      <c r="C318" s="7">
        <v>20</v>
      </c>
      <c r="D318" s="7" t="str">
        <f>VLOOKUP(C318,'5-Genre Codes'!$A$1:$B$11,2,FALSE)</f>
        <v>Dramatization</v>
      </c>
      <c r="E318" s="8">
        <v>2008</v>
      </c>
      <c r="F318" s="6">
        <v>16630</v>
      </c>
      <c r="G318" s="6" t="str">
        <f>VLOOKUP(F318,'4-Actor Codes'!$A$1:$B$622,2,FALSE)</f>
        <v>Owen Wilson</v>
      </c>
      <c r="H318" s="8" t="s">
        <v>10</v>
      </c>
      <c r="I318" s="9">
        <v>143153751</v>
      </c>
      <c r="J318" s="10">
        <v>104658260</v>
      </c>
      <c r="L318" s="10">
        <v>60000000</v>
      </c>
      <c r="M318" s="13"/>
      <c r="N318" s="13"/>
      <c r="O318" s="13"/>
      <c r="P318" s="13"/>
    </row>
    <row r="319" spans="1:16" ht="31" x14ac:dyDescent="0.35">
      <c r="A319" s="5">
        <v>318</v>
      </c>
      <c r="B319" s="6" t="s">
        <v>328</v>
      </c>
      <c r="C319" s="7">
        <v>60</v>
      </c>
      <c r="D319" s="7" t="str">
        <f>VLOOKUP(C319,'5-Genre Codes'!$A$1:$B$11,2,FALSE)</f>
        <v>Kids Fiction</v>
      </c>
      <c r="E319" s="8">
        <v>2011</v>
      </c>
      <c r="F319" s="6">
        <v>10105</v>
      </c>
      <c r="G319" s="6" t="str">
        <f>VLOOKUP(F319,'4-Actor Codes'!$A$1:$B$622,2,FALSE)</f>
        <v>Alan Cumming</v>
      </c>
      <c r="H319" s="8" t="s">
        <v>10</v>
      </c>
      <c r="I319" s="9">
        <v>142614158</v>
      </c>
      <c r="J319" s="10">
        <v>421135165</v>
      </c>
      <c r="L319" s="10">
        <v>110000000</v>
      </c>
      <c r="M319" s="13"/>
      <c r="N319" s="13"/>
      <c r="O319" s="13"/>
      <c r="P319" s="13"/>
    </row>
    <row r="320" spans="1:16" ht="31" x14ac:dyDescent="0.35">
      <c r="A320" s="5">
        <v>319</v>
      </c>
      <c r="B320" s="6" t="s">
        <v>329</v>
      </c>
      <c r="C320" s="7">
        <v>10</v>
      </c>
      <c r="D320" s="7" t="str">
        <f>VLOOKUP(C320,'5-Genre Codes'!$A$1:$B$11,2,FALSE)</f>
        <v>Contemporary Fiction</v>
      </c>
      <c r="E320" s="8">
        <v>1989</v>
      </c>
      <c r="F320" s="6">
        <v>15865</v>
      </c>
      <c r="G320" s="6" t="str">
        <f>VLOOKUP(F320,'4-Actor Codes'!$A$1:$B$622,2,FALSE)</f>
        <v>Mel Gibson</v>
      </c>
      <c r="H320" s="8" t="s">
        <v>13</v>
      </c>
      <c r="I320" s="9">
        <v>141872763</v>
      </c>
      <c r="J320" s="10">
        <v>80046014</v>
      </c>
      <c r="L320" s="10">
        <v>0</v>
      </c>
      <c r="M320" s="13"/>
      <c r="N320" s="13"/>
      <c r="O320" s="13"/>
      <c r="P320" s="13"/>
    </row>
    <row r="321" spans="1:16" ht="31" x14ac:dyDescent="0.35">
      <c r="A321" s="5">
        <v>320</v>
      </c>
      <c r="B321" s="6" t="s">
        <v>330</v>
      </c>
      <c r="C321" s="7">
        <v>60</v>
      </c>
      <c r="D321" s="7" t="str">
        <f>VLOOKUP(C321,'5-Genre Codes'!$A$1:$B$11,2,FALSE)</f>
        <v>Kids Fiction</v>
      </c>
      <c r="E321" s="8">
        <v>1967</v>
      </c>
      <c r="F321" s="6">
        <v>12970</v>
      </c>
      <c r="G321" s="6" t="str">
        <f>VLOOKUP(F321,'4-Actor Codes'!$A$1:$B$622,2,FALSE)</f>
        <v>George Sanders</v>
      </c>
      <c r="H321" s="8" t="s">
        <v>10</v>
      </c>
      <c r="I321" s="9">
        <v>141843000</v>
      </c>
      <c r="J321" s="10">
        <v>0</v>
      </c>
      <c r="L321" s="10">
        <v>0</v>
      </c>
      <c r="M321" s="13"/>
      <c r="N321" s="13"/>
      <c r="O321" s="13"/>
      <c r="P321" s="13"/>
    </row>
    <row r="322" spans="1:16" ht="31" x14ac:dyDescent="0.35">
      <c r="A322" s="5">
        <v>321</v>
      </c>
      <c r="B322" s="6" t="s">
        <v>331</v>
      </c>
      <c r="C322" s="7">
        <v>10</v>
      </c>
      <c r="D322" s="7" t="str">
        <f>VLOOKUP(C322,'5-Genre Codes'!$A$1:$B$11,2,FALSE)</f>
        <v>Contemporary Fiction</v>
      </c>
      <c r="E322" s="8">
        <v>2002</v>
      </c>
      <c r="F322" s="6">
        <v>19060</v>
      </c>
      <c r="G322" s="6" t="str">
        <f>VLOOKUP(F322,'4-Actor Codes'!$A$1:$B$622,2,FALSE)</f>
        <v>Vin Diesel</v>
      </c>
      <c r="H322" s="8" t="s">
        <v>10</v>
      </c>
      <c r="I322" s="9">
        <v>141715000</v>
      </c>
      <c r="J322" s="10">
        <v>125270000</v>
      </c>
      <c r="L322" s="10">
        <v>70000000</v>
      </c>
      <c r="M322" s="13"/>
      <c r="N322" s="13"/>
      <c r="O322" s="13"/>
      <c r="P322" s="13"/>
    </row>
    <row r="323" spans="1:16" x14ac:dyDescent="0.35">
      <c r="A323" s="5">
        <v>322</v>
      </c>
      <c r="B323" s="6" t="s">
        <v>332</v>
      </c>
      <c r="C323" s="7">
        <v>40</v>
      </c>
      <c r="D323" s="7" t="str">
        <f>VLOOKUP(C323,'5-Genre Codes'!$A$1:$B$11,2,FALSE)</f>
        <v>Fantasy</v>
      </c>
      <c r="E323" s="8">
        <v>2008</v>
      </c>
      <c r="F323" s="6">
        <v>16810</v>
      </c>
      <c r="G323" s="6" t="str">
        <f>VLOOKUP(F323,'4-Actor Codes'!$A$1:$B$622,2,FALSE)</f>
        <v>Pedja Bjelac</v>
      </c>
      <c r="H323" s="8" t="s">
        <v>13</v>
      </c>
      <c r="I323" s="9">
        <v>141621490</v>
      </c>
      <c r="J323" s="10">
        <v>275719798</v>
      </c>
      <c r="L323" s="10">
        <v>225000000</v>
      </c>
      <c r="M323" s="13"/>
      <c r="N323" s="13"/>
      <c r="O323" s="13"/>
      <c r="P323" s="13"/>
    </row>
    <row r="324" spans="1:16" ht="31" x14ac:dyDescent="0.35">
      <c r="A324" s="5">
        <v>323</v>
      </c>
      <c r="B324" s="6" t="s">
        <v>333</v>
      </c>
      <c r="C324" s="7">
        <v>10</v>
      </c>
      <c r="D324" s="7" t="str">
        <f>VLOOKUP(C324,'5-Genre Codes'!$A$1:$B$11,2,FALSE)</f>
        <v>Contemporary Fiction</v>
      </c>
      <c r="E324" s="8">
        <v>1978</v>
      </c>
      <c r="F324" s="6">
        <v>14845</v>
      </c>
      <c r="G324" s="6" t="str">
        <f>VLOOKUP(F324,'4-Actor Codes'!$A$1:$B$622,2,FALSE)</f>
        <v>Kevin Bacon</v>
      </c>
      <c r="H324" s="8" t="s">
        <v>10</v>
      </c>
      <c r="I324" s="9">
        <v>141600000</v>
      </c>
      <c r="J324" s="10">
        <v>0</v>
      </c>
      <c r="L324" s="10">
        <v>3000000</v>
      </c>
      <c r="M324" s="13"/>
      <c r="N324" s="13"/>
      <c r="O324" s="13"/>
      <c r="P324" s="13"/>
    </row>
    <row r="325" spans="1:16" x14ac:dyDescent="0.35">
      <c r="A325" s="5">
        <v>324</v>
      </c>
      <c r="B325" s="6" t="s">
        <v>334</v>
      </c>
      <c r="C325" s="7">
        <v>50</v>
      </c>
      <c r="D325" s="7" t="str">
        <f>VLOOKUP(C325,'5-Genre Codes'!$A$1:$B$11,2,FALSE)</f>
        <v>Historical Fiction</v>
      </c>
      <c r="E325" s="8">
        <v>1995</v>
      </c>
      <c r="F325" s="6">
        <v>15865</v>
      </c>
      <c r="G325" s="6" t="str">
        <f>VLOOKUP(F325,'4-Actor Codes'!$A$1:$B$622,2,FALSE)</f>
        <v>Mel Gibson</v>
      </c>
      <c r="H325" s="8" t="s">
        <v>10</v>
      </c>
      <c r="I325" s="9">
        <v>141567679</v>
      </c>
      <c r="J325" s="10">
        <v>205520227</v>
      </c>
      <c r="L325" s="10">
        <v>55000000</v>
      </c>
      <c r="M325" s="13"/>
      <c r="N325" s="13"/>
      <c r="O325" s="13"/>
      <c r="P325" s="13"/>
    </row>
    <row r="326" spans="1:16" ht="31" x14ac:dyDescent="0.35">
      <c r="A326" s="5">
        <v>325</v>
      </c>
      <c r="B326" s="6" t="s">
        <v>335</v>
      </c>
      <c r="C326" s="7">
        <v>10</v>
      </c>
      <c r="D326" s="7" t="str">
        <f>VLOOKUP(C326,'5-Genre Codes'!$A$1:$B$11,2,FALSE)</f>
        <v>Contemporary Fiction</v>
      </c>
      <c r="E326" s="8">
        <v>2008</v>
      </c>
      <c r="F326" s="6">
        <v>13315</v>
      </c>
      <c r="G326" s="6" t="str">
        <f>VLOOKUP(F326,'4-Actor Codes'!$A$1:$B$622,2,FALSE)</f>
        <v>Irfan Khan</v>
      </c>
      <c r="H326" s="8" t="s">
        <v>10</v>
      </c>
      <c r="I326" s="9">
        <v>141319928</v>
      </c>
      <c r="J326" s="10">
        <v>243199737</v>
      </c>
      <c r="L326" s="10">
        <v>14000000</v>
      </c>
      <c r="M326" s="13"/>
      <c r="N326" s="13"/>
      <c r="O326" s="13"/>
      <c r="P326" s="13"/>
    </row>
    <row r="327" spans="1:16" ht="31" x14ac:dyDescent="0.35">
      <c r="A327" s="5">
        <v>326</v>
      </c>
      <c r="B327" s="6" t="s">
        <v>336</v>
      </c>
      <c r="C327" s="7">
        <v>10</v>
      </c>
      <c r="D327" s="7" t="str">
        <f>VLOOKUP(C327,'5-Genre Codes'!$A$1:$B$11,2,FALSE)</f>
        <v>Contemporary Fiction</v>
      </c>
      <c r="E327" s="8">
        <v>1998</v>
      </c>
      <c r="F327" s="6">
        <v>13495</v>
      </c>
      <c r="G327" s="6" t="str">
        <f>VLOOKUP(F327,'4-Actor Codes'!$A$1:$B$622,2,FALSE)</f>
        <v>Jackie Chan</v>
      </c>
      <c r="H327" s="8" t="s">
        <v>10</v>
      </c>
      <c r="I327" s="9">
        <v>141153686</v>
      </c>
      <c r="J327" s="10">
        <v>104113136</v>
      </c>
      <c r="L327" s="10">
        <v>35000000</v>
      </c>
      <c r="M327" s="13"/>
      <c r="N327" s="13"/>
      <c r="O327" s="13"/>
      <c r="P327" s="13"/>
    </row>
    <row r="328" spans="1:16" ht="31" x14ac:dyDescent="0.35">
      <c r="A328" s="5">
        <v>327</v>
      </c>
      <c r="B328" s="6" t="s">
        <v>337</v>
      </c>
      <c r="C328" s="7">
        <v>10</v>
      </c>
      <c r="D328" s="7" t="str">
        <f>VLOOKUP(C328,'5-Genre Codes'!$A$1:$B$11,2,FALSE)</f>
        <v>Contemporary Fiction</v>
      </c>
      <c r="E328" s="8">
        <v>1999</v>
      </c>
      <c r="F328" s="6">
        <v>16645</v>
      </c>
      <c r="G328" s="6" t="str">
        <f>VLOOKUP(F328,'4-Actor Codes'!$A$1:$B$622,2,FALSE)</f>
        <v>Patricia Decou</v>
      </c>
      <c r="H328" s="8" t="s">
        <v>10</v>
      </c>
      <c r="I328" s="9">
        <v>140539099</v>
      </c>
      <c r="J328" s="10">
        <v>107760901</v>
      </c>
      <c r="L328" s="10">
        <v>60000</v>
      </c>
      <c r="M328" s="13"/>
      <c r="N328" s="13"/>
      <c r="O328" s="13"/>
      <c r="P328" s="13"/>
    </row>
    <row r="329" spans="1:16" ht="31" x14ac:dyDescent="0.35">
      <c r="A329" s="5">
        <v>328</v>
      </c>
      <c r="B329" s="6" t="s">
        <v>338</v>
      </c>
      <c r="C329" s="7">
        <v>10</v>
      </c>
      <c r="D329" s="7" t="str">
        <f>VLOOKUP(C329,'5-Genre Codes'!$A$1:$B$11,2,FALSE)</f>
        <v>Contemporary Fiction</v>
      </c>
      <c r="E329" s="8">
        <v>1992</v>
      </c>
      <c r="F329" s="6">
        <v>13660</v>
      </c>
      <c r="G329" s="6" t="str">
        <f>VLOOKUP(F329,'4-Actor Codes'!$A$1:$B$622,2,FALSE)</f>
        <v>James Marshall</v>
      </c>
      <c r="H329" s="8" t="s">
        <v>10</v>
      </c>
      <c r="I329" s="9">
        <v>140525790</v>
      </c>
      <c r="J329" s="10">
        <v>95159822</v>
      </c>
      <c r="L329" s="10">
        <v>33000000</v>
      </c>
      <c r="M329" s="13"/>
      <c r="N329" s="13"/>
      <c r="O329" s="13"/>
      <c r="P329" s="13"/>
    </row>
    <row r="330" spans="1:16" ht="31" x14ac:dyDescent="0.35">
      <c r="A330" s="5">
        <v>329</v>
      </c>
      <c r="B330" s="6" t="s">
        <v>339</v>
      </c>
      <c r="C330" s="7">
        <v>80</v>
      </c>
      <c r="D330" s="7" t="str">
        <f>VLOOKUP(C330,'5-Genre Codes'!$A$1:$B$11,2,FALSE)</f>
        <v>Science Fiction</v>
      </c>
      <c r="E330" s="8">
        <v>1998</v>
      </c>
      <c r="F330" s="6">
        <v>12715</v>
      </c>
      <c r="G330" s="6" t="str">
        <f>VLOOKUP(F330,'4-Actor Codes'!$A$1:$B$622,2,FALSE)</f>
        <v>Francis X. McCarthy</v>
      </c>
      <c r="H330" s="8" t="s">
        <v>10</v>
      </c>
      <c r="I330" s="9">
        <v>140300426</v>
      </c>
      <c r="J330" s="10">
        <v>209000000</v>
      </c>
      <c r="L330" s="10">
        <v>80000000</v>
      </c>
      <c r="M330" s="13"/>
      <c r="N330" s="13"/>
      <c r="O330" s="13"/>
      <c r="P330" s="13"/>
    </row>
    <row r="331" spans="1:16" ht="31" x14ac:dyDescent="0.35">
      <c r="A331" s="5">
        <v>330</v>
      </c>
      <c r="B331" s="6" t="s">
        <v>340</v>
      </c>
      <c r="C331" s="7">
        <v>40</v>
      </c>
      <c r="D331" s="7" t="str">
        <f>VLOOKUP(C331,'5-Genre Codes'!$A$1:$B$11,2,FALSE)</f>
        <v>Fantasy</v>
      </c>
      <c r="E331" s="8">
        <v>1975</v>
      </c>
      <c r="F331" s="6">
        <v>18355</v>
      </c>
      <c r="G331" s="6" t="str">
        <f>VLOOKUP(F331,'4-Actor Codes'!$A$1:$B$622,2,FALSE)</f>
        <v>Susan Sarandon</v>
      </c>
      <c r="H331" s="8" t="s">
        <v>10</v>
      </c>
      <c r="I331" s="9">
        <v>140241017</v>
      </c>
      <c r="J331" s="10">
        <v>0</v>
      </c>
      <c r="L331" s="10">
        <v>1200000</v>
      </c>
      <c r="M331" s="13"/>
      <c r="N331" s="13"/>
      <c r="O331" s="13"/>
      <c r="P331" s="13"/>
    </row>
    <row r="332" spans="1:16" ht="31" x14ac:dyDescent="0.35">
      <c r="A332" s="5">
        <v>331</v>
      </c>
      <c r="B332" s="6" t="s">
        <v>341</v>
      </c>
      <c r="C332" s="7">
        <v>10</v>
      </c>
      <c r="D332" s="7" t="str">
        <f>VLOOKUP(C332,'5-Genre Codes'!$A$1:$B$11,2,FALSE)</f>
        <v>Contemporary Fiction</v>
      </c>
      <c r="E332" s="8">
        <v>2007</v>
      </c>
      <c r="F332" s="6">
        <v>13495</v>
      </c>
      <c r="G332" s="6" t="str">
        <f>VLOOKUP(F332,'4-Actor Codes'!$A$1:$B$622,2,FALSE)</f>
        <v>Jackie Chan</v>
      </c>
      <c r="H332" s="8" t="s">
        <v>13</v>
      </c>
      <c r="I332" s="9">
        <v>140125968</v>
      </c>
      <c r="J332" s="10">
        <v>116459914</v>
      </c>
      <c r="L332" s="10">
        <v>180000000</v>
      </c>
      <c r="M332" s="13"/>
      <c r="N332" s="13"/>
      <c r="O332" s="13"/>
      <c r="P332" s="13"/>
    </row>
    <row r="333" spans="1:16" ht="31" x14ac:dyDescent="0.35">
      <c r="A333" s="5">
        <v>332</v>
      </c>
      <c r="B333" s="6" t="s">
        <v>342</v>
      </c>
      <c r="C333" s="7">
        <v>60</v>
      </c>
      <c r="D333" s="7" t="str">
        <f>VLOOKUP(C333,'5-Genre Codes'!$A$1:$B$11,2,FALSE)</f>
        <v>Kids Fiction</v>
      </c>
      <c r="E333" s="8">
        <v>1999</v>
      </c>
      <c r="F333" s="6">
        <v>16060</v>
      </c>
      <c r="G333" s="6" t="str">
        <f>VLOOKUP(F333,'4-Actor Codes'!$A$1:$B$622,2,FALSE)</f>
        <v>Michael J. Fox</v>
      </c>
      <c r="H333" s="8" t="s">
        <v>10</v>
      </c>
      <c r="I333" s="9">
        <v>140015224</v>
      </c>
      <c r="J333" s="10">
        <v>158800000</v>
      </c>
      <c r="L333" s="10">
        <v>105000000</v>
      </c>
      <c r="M333" s="13"/>
      <c r="N333" s="13"/>
      <c r="O333" s="13"/>
      <c r="P333" s="13"/>
    </row>
    <row r="334" spans="1:16" ht="31" x14ac:dyDescent="0.35">
      <c r="A334" s="5">
        <v>333</v>
      </c>
      <c r="B334" s="6" t="s">
        <v>343</v>
      </c>
      <c r="C334" s="7">
        <v>10</v>
      </c>
      <c r="D334" s="7" t="str">
        <f>VLOOKUP(C334,'5-Genre Codes'!$A$1:$B$11,2,FALSE)</f>
        <v>Contemporary Fiction</v>
      </c>
      <c r="E334" s="8">
        <v>2011</v>
      </c>
      <c r="F334" s="6">
        <v>15265</v>
      </c>
      <c r="G334" s="6" t="str">
        <f>VLOOKUP(F334,'4-Actor Codes'!$A$1:$B$622,2,FALSE)</f>
        <v>Liam Neeson</v>
      </c>
      <c r="H334" s="8" t="s">
        <v>13</v>
      </c>
      <c r="I334" s="9">
        <v>139854287</v>
      </c>
      <c r="J334" s="10">
        <v>237953117</v>
      </c>
      <c r="L334" s="10">
        <v>45000000</v>
      </c>
      <c r="M334" s="13"/>
      <c r="N334" s="13"/>
      <c r="O334" s="13"/>
      <c r="P334" s="13"/>
    </row>
    <row r="335" spans="1:16" ht="31" x14ac:dyDescent="0.35">
      <c r="A335" s="5">
        <v>334</v>
      </c>
      <c r="B335" s="6" t="s">
        <v>344</v>
      </c>
      <c r="C335" s="7">
        <v>10</v>
      </c>
      <c r="D335" s="7" t="str">
        <f>VLOOKUP(C335,'5-Genre Codes'!$A$1:$B$11,2,FALSE)</f>
        <v>Contemporary Fiction</v>
      </c>
      <c r="E335" s="8">
        <v>1992</v>
      </c>
      <c r="F335" s="6">
        <v>15865</v>
      </c>
      <c r="G335" s="6" t="str">
        <f>VLOOKUP(F335,'4-Actor Codes'!$A$1:$B$622,2,FALSE)</f>
        <v>Mel Gibson</v>
      </c>
      <c r="H335" s="8" t="s">
        <v>13</v>
      </c>
      <c r="I335" s="9">
        <v>139799547</v>
      </c>
      <c r="J335" s="10">
        <v>174968473</v>
      </c>
      <c r="L335" s="10">
        <v>35000000</v>
      </c>
      <c r="M335" s="13"/>
      <c r="N335" s="13"/>
      <c r="O335" s="13"/>
      <c r="P335" s="13"/>
    </row>
    <row r="336" spans="1:16" ht="31" x14ac:dyDescent="0.35">
      <c r="A336" s="5">
        <v>335</v>
      </c>
      <c r="B336" s="6" t="s">
        <v>345</v>
      </c>
      <c r="C336" s="7">
        <v>10</v>
      </c>
      <c r="D336" s="7" t="str">
        <f>VLOOKUP(C336,'5-Genre Codes'!$A$1:$B$11,2,FALSE)</f>
        <v>Contemporary Fiction</v>
      </c>
      <c r="E336" s="8">
        <v>1977</v>
      </c>
      <c r="F336" s="6">
        <v>14320</v>
      </c>
      <c r="G336" s="6" t="str">
        <f>VLOOKUP(F336,'4-Actor Codes'!$A$1:$B$622,2,FALSE)</f>
        <v>John Travolta</v>
      </c>
      <c r="H336" s="8" t="s">
        <v>10</v>
      </c>
      <c r="I336" s="9">
        <v>139486124</v>
      </c>
      <c r="J336" s="10">
        <v>142913876</v>
      </c>
      <c r="L336" s="10">
        <v>0</v>
      </c>
      <c r="M336" s="13"/>
      <c r="N336" s="13"/>
      <c r="O336" s="13"/>
      <c r="P336" s="13"/>
    </row>
    <row r="337" spans="1:16" ht="31" x14ac:dyDescent="0.35">
      <c r="A337" s="5">
        <v>336</v>
      </c>
      <c r="B337" s="6" t="s">
        <v>346</v>
      </c>
      <c r="C337" s="7">
        <v>80</v>
      </c>
      <c r="D337" s="7" t="str">
        <f>VLOOKUP(C337,'5-Genre Codes'!$A$1:$B$11,2,FALSE)</f>
        <v>Science Fiction</v>
      </c>
      <c r="E337" s="8">
        <v>2003</v>
      </c>
      <c r="F337" s="6">
        <v>14755</v>
      </c>
      <c r="G337" s="6" t="str">
        <f>VLOOKUP(F337,'4-Actor Codes'!$A$1:$B$622,2,FALSE)</f>
        <v>Keanu Reeves</v>
      </c>
      <c r="H337" s="8" t="s">
        <v>13</v>
      </c>
      <c r="I337" s="9">
        <v>139259759</v>
      </c>
      <c r="J337" s="10">
        <v>288029350</v>
      </c>
      <c r="L337" s="10">
        <v>150000000</v>
      </c>
      <c r="M337" s="13"/>
      <c r="N337" s="13"/>
      <c r="O337" s="13"/>
      <c r="P337" s="13"/>
    </row>
    <row r="338" spans="1:16" x14ac:dyDescent="0.35">
      <c r="A338" s="5">
        <v>337</v>
      </c>
      <c r="B338" s="6" t="s">
        <v>347</v>
      </c>
      <c r="C338" s="7">
        <v>60</v>
      </c>
      <c r="D338" s="7" t="str">
        <f>VLOOKUP(C338,'5-Genre Codes'!$A$1:$B$11,2,FALSE)</f>
        <v>Kids Fiction</v>
      </c>
      <c r="E338" s="8">
        <v>2002</v>
      </c>
      <c r="F338" s="6">
        <v>18580</v>
      </c>
      <c r="G338" s="6" t="str">
        <f>VLOOKUP(F338,'4-Actor Codes'!$A$1:$B$622,2,FALSE)</f>
        <v>Tim Allen</v>
      </c>
      <c r="H338" s="8" t="s">
        <v>13</v>
      </c>
      <c r="I338" s="9">
        <v>139225854</v>
      </c>
      <c r="J338" s="10">
        <v>33600000</v>
      </c>
      <c r="L338" s="10">
        <v>65000000</v>
      </c>
      <c r="M338" s="13"/>
      <c r="N338" s="13"/>
      <c r="O338" s="13"/>
      <c r="P338" s="13"/>
    </row>
    <row r="339" spans="1:16" x14ac:dyDescent="0.35">
      <c r="A339" s="5">
        <v>338</v>
      </c>
      <c r="B339" s="6" t="s">
        <v>348</v>
      </c>
      <c r="C339" s="7">
        <v>20</v>
      </c>
      <c r="D339" s="7" t="str">
        <f>VLOOKUP(C339,'5-Genre Codes'!$A$1:$B$11,2,FALSE)</f>
        <v>Dramatization</v>
      </c>
      <c r="E339" s="8">
        <v>2010</v>
      </c>
      <c r="F339" s="6">
        <v>11635</v>
      </c>
      <c r="G339" s="6" t="str">
        <f>VLOOKUP(F339,'4-Actor Codes'!$A$1:$B$622,2,FALSE)</f>
        <v>Colin Firth</v>
      </c>
      <c r="H339" s="8" t="s">
        <v>10</v>
      </c>
      <c r="I339" s="9">
        <v>138797449</v>
      </c>
      <c r="J339" s="10">
        <v>292023719</v>
      </c>
      <c r="K339" s="11" t="s">
        <v>1010</v>
      </c>
      <c r="L339" s="10">
        <v>15000000</v>
      </c>
      <c r="M339" s="13"/>
      <c r="N339" s="13"/>
      <c r="O339" s="13"/>
      <c r="P339" s="13"/>
    </row>
    <row r="340" spans="1:16" ht="31" x14ac:dyDescent="0.35">
      <c r="A340" s="5">
        <v>339</v>
      </c>
      <c r="B340" s="6" t="s">
        <v>349</v>
      </c>
      <c r="C340" s="7">
        <v>10</v>
      </c>
      <c r="D340" s="7" t="str">
        <f>VLOOKUP(C340,'5-Genre Codes'!$A$1:$B$11,2,FALSE)</f>
        <v>Contemporary Fiction</v>
      </c>
      <c r="E340" s="8">
        <v>2003</v>
      </c>
      <c r="F340" s="6">
        <v>18010</v>
      </c>
      <c r="G340" s="6" t="str">
        <f>VLOOKUP(F340,'4-Actor Codes'!$A$1:$B$622,2,FALSE)</f>
        <v>Shawn Levy</v>
      </c>
      <c r="H340" s="8" t="s">
        <v>10</v>
      </c>
      <c r="I340" s="9">
        <v>138614544</v>
      </c>
      <c r="J340" s="10">
        <v>51100000</v>
      </c>
      <c r="L340" s="10">
        <v>40000000</v>
      </c>
      <c r="M340" s="13"/>
      <c r="N340" s="13"/>
      <c r="O340" s="13"/>
      <c r="P340" s="13"/>
    </row>
    <row r="341" spans="1:16" ht="31" x14ac:dyDescent="0.35">
      <c r="A341" s="5">
        <v>340</v>
      </c>
      <c r="B341" s="6" t="s">
        <v>350</v>
      </c>
      <c r="C341" s="7">
        <v>10</v>
      </c>
      <c r="D341" s="7" t="str">
        <f>VLOOKUP(C341,'5-Genre Codes'!$A$1:$B$11,2,FALSE)</f>
        <v>Contemporary Fiction</v>
      </c>
      <c r="E341" s="8">
        <v>2003</v>
      </c>
      <c r="F341" s="6">
        <v>16105</v>
      </c>
      <c r="G341" s="6" t="str">
        <f>VLOOKUP(F341,'4-Actor Codes'!$A$1:$B$622,2,FALSE)</f>
        <v>Michael Shannon</v>
      </c>
      <c r="H341" s="8" t="s">
        <v>13</v>
      </c>
      <c r="I341" s="9">
        <v>138540870</v>
      </c>
      <c r="J341" s="10">
        <v>134400000</v>
      </c>
      <c r="L341" s="10">
        <v>130000000</v>
      </c>
      <c r="M341" s="13"/>
      <c r="N341" s="13"/>
      <c r="O341" s="13"/>
      <c r="P341" s="13"/>
    </row>
    <row r="342" spans="1:16" ht="31" x14ac:dyDescent="0.35">
      <c r="A342" s="5">
        <v>341</v>
      </c>
      <c r="B342" s="6" t="s">
        <v>351</v>
      </c>
      <c r="C342" s="7">
        <v>10</v>
      </c>
      <c r="D342" s="7" t="str">
        <f>VLOOKUP(C342,'5-Genre Codes'!$A$1:$B$11,2,FALSE)</f>
        <v>Contemporary Fiction</v>
      </c>
      <c r="E342" s="8">
        <v>2011</v>
      </c>
      <c r="F342" s="6">
        <v>14395</v>
      </c>
      <c r="G342" s="6" t="str">
        <f>VLOOKUP(F342,'4-Actor Codes'!$A$1:$B$622,2,FALSE)</f>
        <v>Jonah Hill</v>
      </c>
      <c r="H342" s="8" t="s">
        <v>10</v>
      </c>
      <c r="I342" s="9">
        <v>138447667</v>
      </c>
      <c r="J342" s="10">
        <v>64364762</v>
      </c>
      <c r="L342" s="10">
        <v>42000000</v>
      </c>
      <c r="M342" s="13"/>
      <c r="N342" s="13"/>
      <c r="O342" s="13"/>
      <c r="P342" s="13"/>
    </row>
    <row r="343" spans="1:16" ht="31" x14ac:dyDescent="0.35">
      <c r="A343" s="5">
        <v>342</v>
      </c>
      <c r="B343" s="6" t="s">
        <v>352</v>
      </c>
      <c r="C343" s="7">
        <v>10</v>
      </c>
      <c r="D343" s="7" t="str">
        <f>VLOOKUP(C343,'5-Genre Codes'!$A$1:$B$11,2,FALSE)</f>
        <v>Contemporary Fiction</v>
      </c>
      <c r="E343" s="8">
        <v>1997</v>
      </c>
      <c r="F343" s="6">
        <v>15685</v>
      </c>
      <c r="G343" s="6" t="str">
        <f>VLOOKUP(F343,'4-Actor Codes'!$A$1:$B$622,2,FALSE)</f>
        <v>Matt Damon</v>
      </c>
      <c r="H343" s="8" t="s">
        <v>10</v>
      </c>
      <c r="I343" s="9">
        <v>138339411</v>
      </c>
      <c r="J343" s="10">
        <v>87500000</v>
      </c>
      <c r="L343" s="10">
        <v>10000000</v>
      </c>
      <c r="M343" s="13"/>
      <c r="N343" s="13"/>
      <c r="O343" s="13"/>
      <c r="P343" s="13"/>
    </row>
    <row r="344" spans="1:16" x14ac:dyDescent="0.35">
      <c r="A344" s="5">
        <v>343</v>
      </c>
      <c r="B344" s="6" t="s">
        <v>353</v>
      </c>
      <c r="C344" s="7">
        <v>40</v>
      </c>
      <c r="D344" s="7" t="str">
        <f>VLOOKUP(C344,'5-Genre Codes'!$A$1:$B$11,2,FALSE)</f>
        <v>Fantasy</v>
      </c>
      <c r="E344" s="8">
        <v>2009</v>
      </c>
      <c r="F344" s="6">
        <v>18100</v>
      </c>
      <c r="G344" s="6" t="str">
        <f>VLOOKUP(F344,'4-Actor Codes'!$A$1:$B$622,2,FALSE)</f>
        <v>Sonje Fortag</v>
      </c>
      <c r="H344" s="8" t="s">
        <v>10</v>
      </c>
      <c r="I344" s="9">
        <v>137855863</v>
      </c>
      <c r="J344" s="10">
        <v>177853834</v>
      </c>
      <c r="L344" s="10">
        <v>190000000</v>
      </c>
      <c r="M344" s="13"/>
      <c r="N344" s="13"/>
      <c r="O344" s="13"/>
      <c r="P344" s="13"/>
    </row>
    <row r="345" spans="1:16" ht="31" x14ac:dyDescent="0.35">
      <c r="A345" s="5">
        <v>344</v>
      </c>
      <c r="B345" s="6" t="s">
        <v>354</v>
      </c>
      <c r="C345" s="7">
        <v>60</v>
      </c>
      <c r="D345" s="7" t="str">
        <f>VLOOKUP(C345,'5-Genre Codes'!$A$1:$B$11,2,FALSE)</f>
        <v>Kids Fiction</v>
      </c>
      <c r="E345" s="8">
        <v>2000</v>
      </c>
      <c r="F345" s="6">
        <v>13180</v>
      </c>
      <c r="G345" s="6" t="str">
        <f>VLOOKUP(F345,'4-Actor Codes'!$A$1:$B$622,2,FALSE)</f>
        <v>Hayden Panettiere</v>
      </c>
      <c r="H345" s="8" t="s">
        <v>10</v>
      </c>
      <c r="I345" s="9">
        <v>137748063</v>
      </c>
      <c r="J345" s="10">
        <v>218400000</v>
      </c>
      <c r="L345" s="10">
        <v>127500000</v>
      </c>
      <c r="M345" s="13"/>
      <c r="N345" s="13"/>
      <c r="O345" s="13"/>
      <c r="P345" s="13"/>
    </row>
    <row r="346" spans="1:16" ht="31" x14ac:dyDescent="0.35">
      <c r="A346" s="5">
        <v>345</v>
      </c>
      <c r="B346" s="6" t="s">
        <v>355</v>
      </c>
      <c r="C346" s="7">
        <v>40</v>
      </c>
      <c r="D346" s="7" t="str">
        <f>VLOOKUP(C346,'5-Genre Codes'!$A$1:$B$11,2,FALSE)</f>
        <v>Fantasy</v>
      </c>
      <c r="E346" s="8">
        <v>2013</v>
      </c>
      <c r="F346" s="6">
        <v>19030</v>
      </c>
      <c r="G346" s="6" t="str">
        <f>VLOOKUP(F346,'4-Actor Codes'!$A$1:$B$622,2,FALSE)</f>
        <v>Vera Farmiga</v>
      </c>
      <c r="H346" s="8" t="s">
        <v>10</v>
      </c>
      <c r="I346" s="9">
        <v>137400141</v>
      </c>
      <c r="J346" s="10">
        <v>180600000</v>
      </c>
      <c r="L346" s="10">
        <v>20000000</v>
      </c>
      <c r="M346" s="13"/>
      <c r="N346" s="13"/>
      <c r="O346" s="13"/>
      <c r="P346" s="13"/>
    </row>
    <row r="347" spans="1:16" x14ac:dyDescent="0.35">
      <c r="A347" s="5">
        <v>346</v>
      </c>
      <c r="B347" s="6" t="s">
        <v>356</v>
      </c>
      <c r="C347" s="7">
        <v>40</v>
      </c>
      <c r="D347" s="7" t="str">
        <f>VLOOKUP(C347,'5-Genre Codes'!$A$1:$B$11,2,FALSE)</f>
        <v>Fantasy</v>
      </c>
      <c r="E347" s="8">
        <v>2006</v>
      </c>
      <c r="F347" s="6">
        <v>15490</v>
      </c>
      <c r="G347" s="6" t="str">
        <f>VLOOKUP(F347,'4-Actor Codes'!$A$1:$B$622,2,FALSE)</f>
        <v>Marco Khan</v>
      </c>
      <c r="H347" s="8" t="s">
        <v>10</v>
      </c>
      <c r="I347" s="9">
        <v>137340146</v>
      </c>
      <c r="J347" s="10">
        <v>100329456</v>
      </c>
      <c r="L347" s="10">
        <v>82500000</v>
      </c>
      <c r="M347" s="13"/>
      <c r="N347" s="13"/>
      <c r="O347" s="13"/>
      <c r="P347" s="13"/>
    </row>
    <row r="348" spans="1:16" ht="31" x14ac:dyDescent="0.35">
      <c r="A348" s="5">
        <v>347</v>
      </c>
      <c r="B348" s="6" t="s">
        <v>357</v>
      </c>
      <c r="C348" s="7">
        <v>40</v>
      </c>
      <c r="D348" s="7" t="str">
        <f>VLOOKUP(C348,'5-Genre Codes'!$A$1:$B$11,2,FALSE)</f>
        <v>Fantasy</v>
      </c>
      <c r="E348" s="8">
        <v>1999</v>
      </c>
      <c r="F348" s="6">
        <v>10810</v>
      </c>
      <c r="G348" s="6" t="str">
        <f>VLOOKUP(F348,'4-Actor Codes'!$A$1:$B$622,2,FALSE)</f>
        <v>Bill McKinney</v>
      </c>
      <c r="H348" s="8" t="s">
        <v>10</v>
      </c>
      <c r="I348" s="9">
        <v>136801374</v>
      </c>
      <c r="J348" s="10">
        <v>153900000</v>
      </c>
      <c r="L348" s="10">
        <v>60000000</v>
      </c>
      <c r="M348" s="13"/>
      <c r="N348" s="13"/>
      <c r="O348" s="13"/>
      <c r="P348" s="13"/>
    </row>
    <row r="349" spans="1:16" ht="31" x14ac:dyDescent="0.35">
      <c r="A349" s="5">
        <v>348</v>
      </c>
      <c r="B349" s="6" t="s">
        <v>358</v>
      </c>
      <c r="C349" s="7">
        <v>10</v>
      </c>
      <c r="D349" s="7" t="str">
        <f>VLOOKUP(C349,'5-Genre Codes'!$A$1:$B$11,2,FALSE)</f>
        <v>Contemporary Fiction</v>
      </c>
      <c r="E349" s="8">
        <v>1996</v>
      </c>
      <c r="F349" s="6">
        <v>15280</v>
      </c>
      <c r="G349" s="6" t="str">
        <f>VLOOKUP(F349,'4-Actor Codes'!$A$1:$B$622,2,FALSE)</f>
        <v>Liev Schreiber</v>
      </c>
      <c r="H349" s="8" t="s">
        <v>10</v>
      </c>
      <c r="I349" s="9">
        <v>136448821</v>
      </c>
      <c r="J349" s="10">
        <v>172207319</v>
      </c>
      <c r="L349" s="10">
        <v>70000000</v>
      </c>
      <c r="M349" s="13"/>
      <c r="N349" s="13"/>
      <c r="O349" s="13"/>
      <c r="P349" s="13"/>
    </row>
    <row r="350" spans="1:16" ht="31" x14ac:dyDescent="0.35">
      <c r="A350" s="5">
        <v>349</v>
      </c>
      <c r="B350" s="6" t="s">
        <v>290</v>
      </c>
      <c r="C350" s="7">
        <v>60</v>
      </c>
      <c r="D350" s="7" t="str">
        <f>VLOOKUP(C350,'5-Genre Codes'!$A$1:$B$11,2,FALSE)</f>
        <v>Kids Fiction</v>
      </c>
      <c r="E350" s="8">
        <v>1996</v>
      </c>
      <c r="F350" s="6">
        <v>12745</v>
      </c>
      <c r="G350" s="6" t="str">
        <f>VLOOKUP(F350,'4-Actor Codes'!$A$1:$B$622,2,FALSE)</f>
        <v>Frank Welker</v>
      </c>
      <c r="H350" s="8" t="s">
        <v>10</v>
      </c>
      <c r="I350" s="9">
        <v>136182161</v>
      </c>
      <c r="J350" s="10">
        <v>0</v>
      </c>
      <c r="L350" s="10">
        <v>0</v>
      </c>
      <c r="M350" s="13"/>
      <c r="N350" s="13"/>
      <c r="O350" s="13"/>
      <c r="P350" s="13"/>
    </row>
    <row r="351" spans="1:16" ht="31" x14ac:dyDescent="0.35">
      <c r="A351" s="5">
        <v>350</v>
      </c>
      <c r="B351" s="6" t="s">
        <v>170</v>
      </c>
      <c r="C351" s="7">
        <v>80</v>
      </c>
      <c r="D351" s="7" t="str">
        <f>VLOOKUP(C351,'5-Genre Codes'!$A$1:$B$11,2,FALSE)</f>
        <v>Science Fiction</v>
      </c>
      <c r="E351" s="8">
        <v>1998</v>
      </c>
      <c r="F351" s="6">
        <v>15745</v>
      </c>
      <c r="G351" s="6" t="str">
        <f>VLOOKUP(F351,'4-Actor Codes'!$A$1:$B$622,2,FALSE)</f>
        <v>Matthew Broderick</v>
      </c>
      <c r="H351" s="8" t="s">
        <v>10</v>
      </c>
      <c r="I351" s="9">
        <v>136142003</v>
      </c>
      <c r="J351" s="10">
        <v>239685706</v>
      </c>
      <c r="L351" s="10">
        <v>125000000</v>
      </c>
      <c r="M351" s="13"/>
      <c r="N351" s="13"/>
      <c r="O351" s="13"/>
      <c r="P351" s="13"/>
    </row>
    <row r="352" spans="1:16" x14ac:dyDescent="0.35">
      <c r="A352" s="5">
        <v>351</v>
      </c>
      <c r="B352" s="6" t="s">
        <v>359</v>
      </c>
      <c r="C352" s="7">
        <v>50</v>
      </c>
      <c r="D352" s="7" t="str">
        <f>VLOOKUP(C352,'5-Genre Codes'!$A$1:$B$11,2,FALSE)</f>
        <v>Historical Fiction</v>
      </c>
      <c r="E352" s="8">
        <v>2012</v>
      </c>
      <c r="F352" s="6">
        <v>10630</v>
      </c>
      <c r="G352" s="6" t="str">
        <f>VLOOKUP(F352,'4-Actor Codes'!$A$1:$B$622,2,FALSE)</f>
        <v>Ben Affleck</v>
      </c>
      <c r="H352" s="8" t="s">
        <v>10</v>
      </c>
      <c r="I352" s="9">
        <v>136025503</v>
      </c>
      <c r="J352" s="10">
        <v>91115254</v>
      </c>
      <c r="K352" s="11" t="s">
        <v>1010</v>
      </c>
      <c r="L352" s="10">
        <v>44500000</v>
      </c>
      <c r="M352" s="13"/>
      <c r="N352" s="13"/>
      <c r="O352" s="13"/>
      <c r="P352" s="13"/>
    </row>
    <row r="353" spans="1:16" ht="31" x14ac:dyDescent="0.35">
      <c r="A353" s="5">
        <v>352</v>
      </c>
      <c r="B353" s="6" t="s">
        <v>360</v>
      </c>
      <c r="C353" s="7">
        <v>10</v>
      </c>
      <c r="D353" s="7" t="str">
        <f>VLOOKUP(C353,'5-Genre Codes'!$A$1:$B$11,2,FALSE)</f>
        <v>Contemporary Fiction</v>
      </c>
      <c r="E353" s="8">
        <v>2003</v>
      </c>
      <c r="F353" s="6">
        <v>17590</v>
      </c>
      <c r="G353" s="6" t="str">
        <f>VLOOKUP(F353,'4-Actor Codes'!$A$1:$B$622,2,FALSE)</f>
        <v>Rudy Giuliani</v>
      </c>
      <c r="H353" s="8" t="s">
        <v>10</v>
      </c>
      <c r="I353" s="9">
        <v>135560942</v>
      </c>
      <c r="J353" s="10">
        <v>60100000</v>
      </c>
      <c r="L353" s="10">
        <v>56000000</v>
      </c>
      <c r="M353" s="13"/>
      <c r="N353" s="13"/>
      <c r="O353" s="13"/>
      <c r="P353" s="13"/>
    </row>
    <row r="354" spans="1:16" x14ac:dyDescent="0.35">
      <c r="A354" s="5">
        <v>353</v>
      </c>
      <c r="B354" s="6" t="s">
        <v>361</v>
      </c>
      <c r="C354" s="7">
        <v>60</v>
      </c>
      <c r="D354" s="7" t="str">
        <f>VLOOKUP(C354,'5-Genre Codes'!$A$1:$B$11,2,FALSE)</f>
        <v>Kids Fiction</v>
      </c>
      <c r="E354" s="8">
        <v>2005</v>
      </c>
      <c r="F354" s="6">
        <v>10225</v>
      </c>
      <c r="G354" s="6" t="str">
        <f>VLOOKUP(F354,'4-Actor Codes'!$A$1:$B$622,2,FALSE)</f>
        <v>Amy Sedaris</v>
      </c>
      <c r="H354" s="8" t="s">
        <v>10</v>
      </c>
      <c r="I354" s="9">
        <v>135386665</v>
      </c>
      <c r="J354" s="10">
        <v>174657158</v>
      </c>
      <c r="L354" s="10">
        <v>60000000</v>
      </c>
      <c r="M354" s="13"/>
      <c r="N354" s="13"/>
      <c r="O354" s="13"/>
      <c r="P354" s="13"/>
    </row>
    <row r="355" spans="1:16" ht="31" x14ac:dyDescent="0.35">
      <c r="A355" s="5">
        <v>354</v>
      </c>
      <c r="B355" s="6" t="s">
        <v>362</v>
      </c>
      <c r="C355" s="7">
        <v>10</v>
      </c>
      <c r="D355" s="7" t="str">
        <f>VLOOKUP(C355,'5-Genre Codes'!$A$1:$B$11,2,FALSE)</f>
        <v>Contemporary Fiction</v>
      </c>
      <c r="E355" s="8">
        <v>1998</v>
      </c>
      <c r="F355" s="6">
        <v>17425</v>
      </c>
      <c r="G355" s="6" t="str">
        <f>VLOOKUP(F355,'4-Actor Codes'!$A$1:$B$622,2,FALSE)</f>
        <v>Robin Williams</v>
      </c>
      <c r="H355" s="8" t="s">
        <v>10</v>
      </c>
      <c r="I355" s="9">
        <v>135014968</v>
      </c>
      <c r="J355" s="10">
        <v>67158032</v>
      </c>
      <c r="L355" s="10">
        <v>50000000</v>
      </c>
      <c r="M355" s="13"/>
      <c r="N355" s="13"/>
      <c r="O355" s="13"/>
      <c r="P355" s="13"/>
    </row>
    <row r="356" spans="1:16" ht="31" x14ac:dyDescent="0.35">
      <c r="A356" s="5">
        <v>355</v>
      </c>
      <c r="B356" s="6" t="s">
        <v>363</v>
      </c>
      <c r="C356" s="7">
        <v>10</v>
      </c>
      <c r="D356" s="7" t="str">
        <f>VLOOKUP(C356,'5-Genre Codes'!$A$1:$B$11,2,FALSE)</f>
        <v>Contemporary Fiction</v>
      </c>
      <c r="E356" s="8">
        <v>1988</v>
      </c>
      <c r="F356" s="6">
        <v>14965</v>
      </c>
      <c r="G356" s="6" t="str">
        <f>VLOOKUP(F356,'4-Actor Codes'!$A$1:$B$622,2,FALSE)</f>
        <v>Kirstie Alley</v>
      </c>
      <c r="H356" s="8" t="s">
        <v>10</v>
      </c>
      <c r="I356" s="9">
        <v>134837533</v>
      </c>
      <c r="J356" s="10">
        <v>157011187</v>
      </c>
      <c r="L356" s="10">
        <v>0</v>
      </c>
      <c r="M356" s="13"/>
      <c r="N356" s="13"/>
      <c r="O356" s="13"/>
      <c r="P356" s="13"/>
    </row>
    <row r="357" spans="1:16" ht="31" x14ac:dyDescent="0.35">
      <c r="A357" s="5">
        <v>356</v>
      </c>
      <c r="B357" s="6" t="s">
        <v>364</v>
      </c>
      <c r="C357" s="7">
        <v>50</v>
      </c>
      <c r="D357" s="7" t="str">
        <f>VLOOKUP(C357,'5-Genre Codes'!$A$1:$B$11,2,FALSE)</f>
        <v>Historical Fiction</v>
      </c>
      <c r="E357" s="8">
        <v>1972</v>
      </c>
      <c r="F357" s="6">
        <v>15580</v>
      </c>
      <c r="G357" s="6" t="str">
        <f>VLOOKUP(F357,'4-Actor Codes'!$A$1:$B$622,2,FALSE)</f>
        <v>Marlon Brando</v>
      </c>
      <c r="H357" s="8" t="s">
        <v>10</v>
      </c>
      <c r="I357" s="9">
        <v>134821952</v>
      </c>
      <c r="J357" s="10">
        <v>133533589</v>
      </c>
      <c r="K357" s="11" t="s">
        <v>1010</v>
      </c>
      <c r="L357" s="10">
        <v>7000000</v>
      </c>
      <c r="M357" s="13"/>
      <c r="N357" s="13"/>
      <c r="O357" s="13"/>
      <c r="P357" s="13"/>
    </row>
    <row r="358" spans="1:16" ht="31" x14ac:dyDescent="0.35">
      <c r="A358" s="5">
        <v>357</v>
      </c>
      <c r="B358" s="6" t="s">
        <v>365</v>
      </c>
      <c r="C358" s="7">
        <v>10</v>
      </c>
      <c r="D358" s="7" t="str">
        <f>VLOOKUP(C358,'5-Genre Codes'!$A$1:$B$11,2,FALSE)</f>
        <v>Contemporary Fiction</v>
      </c>
      <c r="E358" s="8">
        <v>2015</v>
      </c>
      <c r="F358" s="6">
        <v>11830</v>
      </c>
      <c r="G358" s="6" t="str">
        <f>VLOOKUP(F358,'4-Actor Codes'!$A$1:$B$622,2,FALSE)</f>
        <v>Daniel Craig</v>
      </c>
      <c r="H358" s="8" t="s">
        <v>10</v>
      </c>
      <c r="I358" s="9">
        <v>134659531</v>
      </c>
      <c r="J358" s="10">
        <v>223100000</v>
      </c>
      <c r="L358" s="10">
        <v>300000000</v>
      </c>
      <c r="M358" s="13"/>
      <c r="N358" s="13"/>
      <c r="O358" s="13"/>
      <c r="P358" s="13"/>
    </row>
    <row r="359" spans="1:16" x14ac:dyDescent="0.35">
      <c r="A359" s="5">
        <v>358</v>
      </c>
      <c r="B359" s="6" t="s">
        <v>366</v>
      </c>
      <c r="C359" s="7">
        <v>90</v>
      </c>
      <c r="D359" s="7" t="str">
        <f>VLOOKUP(C359,'5-Genre Codes'!$A$1:$B$11,2,FALSE)</f>
        <v>Super Hero</v>
      </c>
      <c r="E359" s="8">
        <v>2008</v>
      </c>
      <c r="F359" s="6">
        <v>18160</v>
      </c>
      <c r="G359" s="6" t="str">
        <f>VLOOKUP(F359,'4-Actor Codes'!$A$1:$B$622,2,FALSE)</f>
        <v>Stan Lee</v>
      </c>
      <c r="H359" s="8" t="s">
        <v>10</v>
      </c>
      <c r="I359" s="9">
        <v>134533885</v>
      </c>
      <c r="J359" s="10">
        <v>128611000</v>
      </c>
      <c r="L359" s="10">
        <v>137500000</v>
      </c>
      <c r="M359" s="13"/>
      <c r="N359" s="13"/>
      <c r="O359" s="13"/>
      <c r="P359" s="13"/>
    </row>
    <row r="360" spans="1:16" ht="31" x14ac:dyDescent="0.35">
      <c r="A360" s="5">
        <v>359</v>
      </c>
      <c r="B360" s="6" t="s">
        <v>367</v>
      </c>
      <c r="C360" s="7">
        <v>10</v>
      </c>
      <c r="D360" s="7" t="str">
        <f>VLOOKUP(C360,'5-Genre Codes'!$A$1:$B$11,2,FALSE)</f>
        <v>Contemporary Fiction</v>
      </c>
      <c r="E360" s="8">
        <v>2007</v>
      </c>
      <c r="F360" s="6">
        <v>11095</v>
      </c>
      <c r="G360" s="6" t="str">
        <f>VLOOKUP(F360,'4-Actor Codes'!$A$1:$B$622,2,FALSE)</f>
        <v>Bruce Willis</v>
      </c>
      <c r="H360" s="8" t="s">
        <v>13</v>
      </c>
      <c r="I360" s="9">
        <v>134529403</v>
      </c>
      <c r="J360" s="10">
        <v>247758744</v>
      </c>
      <c r="L360" s="10">
        <v>110000000</v>
      </c>
      <c r="M360" s="13"/>
      <c r="N360" s="13"/>
      <c r="O360" s="13"/>
      <c r="P360" s="13"/>
    </row>
    <row r="361" spans="1:16" ht="31" x14ac:dyDescent="0.35">
      <c r="A361" s="5">
        <v>360</v>
      </c>
      <c r="B361" s="6" t="s">
        <v>368</v>
      </c>
      <c r="C361" s="7">
        <v>10</v>
      </c>
      <c r="D361" s="7" t="str">
        <f>VLOOKUP(C361,'5-Genre Codes'!$A$1:$B$11,2,FALSE)</f>
        <v>Contemporary Fiction</v>
      </c>
      <c r="E361" s="8">
        <v>2013</v>
      </c>
      <c r="F361" s="6">
        <v>16330</v>
      </c>
      <c r="G361" s="6" t="str">
        <f>VLOOKUP(F361,'4-Actor Codes'!$A$1:$B$622,2,FALSE)</f>
        <v>Morris Chestnut</v>
      </c>
      <c r="H361" s="8" t="s">
        <v>10</v>
      </c>
      <c r="I361" s="9">
        <v>134506920</v>
      </c>
      <c r="J361" s="10">
        <v>40854658</v>
      </c>
      <c r="L361" s="10">
        <v>35000000</v>
      </c>
      <c r="M361" s="13"/>
      <c r="N361" s="13"/>
      <c r="O361" s="13"/>
      <c r="P361" s="13"/>
    </row>
    <row r="362" spans="1:16" ht="31" x14ac:dyDescent="0.35">
      <c r="A362" s="5">
        <v>361</v>
      </c>
      <c r="B362" s="6" t="s">
        <v>369</v>
      </c>
      <c r="C362" s="7">
        <v>80</v>
      </c>
      <c r="D362" s="7" t="str">
        <f>VLOOKUP(C362,'5-Genre Codes'!$A$1:$B$11,2,FALSE)</f>
        <v>Science Fiction</v>
      </c>
      <c r="E362" s="8">
        <v>2008</v>
      </c>
      <c r="F362" s="6">
        <v>13675</v>
      </c>
      <c r="G362" s="6" t="str">
        <f>VLOOKUP(F362,'4-Actor Codes'!$A$1:$B$622,2,FALSE)</f>
        <v>James McAvoy</v>
      </c>
      <c r="H362" s="8" t="s">
        <v>10</v>
      </c>
      <c r="I362" s="9">
        <v>134327125</v>
      </c>
      <c r="J362" s="10">
        <v>207907909</v>
      </c>
      <c r="L362" s="10">
        <v>75000000</v>
      </c>
      <c r="M362" s="13"/>
      <c r="N362" s="13"/>
      <c r="O362" s="13"/>
      <c r="P362" s="13"/>
    </row>
    <row r="363" spans="1:16" ht="31" x14ac:dyDescent="0.35">
      <c r="A363" s="5">
        <v>362</v>
      </c>
      <c r="B363" s="6" t="s">
        <v>370</v>
      </c>
      <c r="C363" s="7">
        <v>90</v>
      </c>
      <c r="D363" s="7" t="str">
        <f>VLOOKUP(C363,'5-Genre Codes'!$A$1:$B$11,2,FALSE)</f>
        <v>Super Hero</v>
      </c>
      <c r="E363" s="8">
        <v>1978</v>
      </c>
      <c r="F363" s="6">
        <v>18490</v>
      </c>
      <c r="G363" s="6" t="str">
        <f>VLOOKUP(F363,'4-Actor Codes'!$A$1:$B$622,2,FALSE)</f>
        <v>Terence Stamp</v>
      </c>
      <c r="H363" s="8" t="s">
        <v>10</v>
      </c>
      <c r="I363" s="9">
        <v>134218018</v>
      </c>
      <c r="J363" s="10">
        <v>165981982</v>
      </c>
      <c r="L363" s="10">
        <v>55000000</v>
      </c>
      <c r="M363" s="13"/>
      <c r="N363" s="13"/>
      <c r="O363" s="13"/>
      <c r="P363" s="13"/>
    </row>
    <row r="364" spans="1:16" ht="31" x14ac:dyDescent="0.35">
      <c r="A364" s="5">
        <v>363</v>
      </c>
      <c r="B364" s="6" t="s">
        <v>371</v>
      </c>
      <c r="C364" s="7">
        <v>10</v>
      </c>
      <c r="D364" s="7" t="str">
        <f>VLOOKUP(C364,'5-Genre Codes'!$A$1:$B$11,2,FALSE)</f>
        <v>Contemporary Fiction</v>
      </c>
      <c r="E364" s="8">
        <v>2011</v>
      </c>
      <c r="F364" s="6">
        <v>13300</v>
      </c>
      <c r="G364" s="6" t="str">
        <f>VLOOKUP(F364,'4-Actor Codes'!$A$1:$B$622,2,FALSE)</f>
        <v>Ice Cube</v>
      </c>
      <c r="H364" s="8" t="s">
        <v>10</v>
      </c>
      <c r="I364" s="9">
        <v>134202565</v>
      </c>
      <c r="J364" s="10">
        <v>19530700</v>
      </c>
      <c r="L364" s="10">
        <v>25000000</v>
      </c>
      <c r="M364" s="13"/>
      <c r="N364" s="13"/>
      <c r="O364" s="13"/>
      <c r="P364" s="13"/>
    </row>
    <row r="365" spans="1:16" ht="31" x14ac:dyDescent="0.35">
      <c r="A365" s="5">
        <v>364</v>
      </c>
      <c r="B365" s="6" t="s">
        <v>372</v>
      </c>
      <c r="C365" s="7">
        <v>10</v>
      </c>
      <c r="D365" s="7" t="str">
        <f>VLOOKUP(C365,'5-Genre Codes'!$A$1:$B$11,2,FALSE)</f>
        <v>Contemporary Fiction</v>
      </c>
      <c r="E365" s="8">
        <v>1996</v>
      </c>
      <c r="F365" s="6">
        <v>16465</v>
      </c>
      <c r="G365" s="6" t="str">
        <f>VLOOKUP(F365,'4-Actor Codes'!$A$1:$B$622,2,FALSE)</f>
        <v>Nicolas Cage</v>
      </c>
      <c r="H365" s="8" t="s">
        <v>10</v>
      </c>
      <c r="I365" s="9">
        <v>133955936</v>
      </c>
      <c r="J365" s="10">
        <v>202000000</v>
      </c>
      <c r="L365" s="10">
        <v>75000000</v>
      </c>
      <c r="M365" s="13"/>
      <c r="N365" s="13"/>
      <c r="O365" s="13"/>
      <c r="P365" s="13"/>
    </row>
    <row r="366" spans="1:16" ht="31" x14ac:dyDescent="0.35">
      <c r="A366" s="5">
        <v>365</v>
      </c>
      <c r="B366" s="6" t="s">
        <v>373</v>
      </c>
      <c r="C366" s="7">
        <v>10</v>
      </c>
      <c r="D366" s="7" t="str">
        <f>VLOOKUP(C366,'5-Genre Codes'!$A$1:$B$11,2,FALSE)</f>
        <v>Contemporary Fiction</v>
      </c>
      <c r="E366" s="8">
        <v>2012</v>
      </c>
      <c r="F366" s="6">
        <v>10015</v>
      </c>
      <c r="G366" s="6" t="str">
        <f>VLOOKUP(F366,'4-Actor Codes'!$A$1:$B$622,2,FALSE)</f>
        <v>Adam Sandler</v>
      </c>
      <c r="H366" s="8" t="s">
        <v>13</v>
      </c>
      <c r="I366" s="9">
        <v>133668525</v>
      </c>
      <c r="J366" s="10">
        <v>113355283</v>
      </c>
      <c r="L366" s="10">
        <v>80000000</v>
      </c>
      <c r="M366" s="13"/>
      <c r="N366" s="13"/>
      <c r="O366" s="13"/>
      <c r="P366" s="13"/>
    </row>
    <row r="367" spans="1:16" ht="31" x14ac:dyDescent="0.35">
      <c r="A367" s="5">
        <v>366</v>
      </c>
      <c r="B367" s="6" t="s">
        <v>374</v>
      </c>
      <c r="C367" s="7">
        <v>10</v>
      </c>
      <c r="D367" s="7" t="str">
        <f>VLOOKUP(C367,'5-Genre Codes'!$A$1:$B$11,2,FALSE)</f>
        <v>Contemporary Fiction</v>
      </c>
      <c r="E367" s="8">
        <v>2006</v>
      </c>
      <c r="F367" s="6">
        <v>18745</v>
      </c>
      <c r="G367" s="6" t="str">
        <f>VLOOKUP(F367,'4-Actor Codes'!$A$1:$B$622,2,FALSE)</f>
        <v>Tom Cruise</v>
      </c>
      <c r="H367" s="8" t="s">
        <v>13</v>
      </c>
      <c r="I367" s="9">
        <v>133501348</v>
      </c>
      <c r="J367" s="10">
        <v>264000000</v>
      </c>
      <c r="L367" s="10">
        <v>150000000</v>
      </c>
      <c r="M367" s="13"/>
      <c r="N367" s="13"/>
      <c r="O367" s="13"/>
      <c r="P367" s="13"/>
    </row>
    <row r="368" spans="1:16" ht="46.5" x14ac:dyDescent="0.35">
      <c r="A368" s="5">
        <v>367</v>
      </c>
      <c r="B368" s="6" t="s">
        <v>375</v>
      </c>
      <c r="C368" s="7">
        <v>10</v>
      </c>
      <c r="D368" s="7" t="str">
        <f>VLOOKUP(C368,'5-Genre Codes'!$A$1:$B$11,2,FALSE)</f>
        <v>Contemporary Fiction</v>
      </c>
      <c r="E368" s="8">
        <v>2009</v>
      </c>
      <c r="F368" s="6">
        <v>10510</v>
      </c>
      <c r="G368" s="6" t="str">
        <f>VLOOKUP(F368,'4-Actor Codes'!$A$1:$B$622,2,FALSE)</f>
        <v>Armin Mueller-Stahl</v>
      </c>
      <c r="H368" s="8" t="s">
        <v>13</v>
      </c>
      <c r="I368" s="9">
        <v>133375846</v>
      </c>
      <c r="J368" s="10">
        <v>357500000</v>
      </c>
      <c r="L368" s="10">
        <v>150000000</v>
      </c>
      <c r="M368" s="13"/>
      <c r="N368" s="13"/>
      <c r="O368" s="13"/>
      <c r="P368" s="13"/>
    </row>
    <row r="369" spans="1:16" x14ac:dyDescent="0.35">
      <c r="A369" s="5">
        <v>368</v>
      </c>
      <c r="B369" s="6" t="s">
        <v>376</v>
      </c>
      <c r="C369" s="7">
        <v>50</v>
      </c>
      <c r="D369" s="7" t="str">
        <f>VLOOKUP(C369,'5-Genre Codes'!$A$1:$B$11,2,FALSE)</f>
        <v>Historical Fiction</v>
      </c>
      <c r="E369" s="8">
        <v>2004</v>
      </c>
      <c r="F369" s="6">
        <v>10930</v>
      </c>
      <c r="G369" s="6" t="str">
        <f>VLOOKUP(F369,'4-Actor Codes'!$A$1:$B$622,2,FALSE)</f>
        <v>Brad Pitt</v>
      </c>
      <c r="H369" s="8" t="s">
        <v>10</v>
      </c>
      <c r="I369" s="9">
        <v>133298577</v>
      </c>
      <c r="J369" s="10">
        <v>350862688</v>
      </c>
      <c r="L369" s="10">
        <v>150000000</v>
      </c>
      <c r="M369" s="13"/>
      <c r="N369" s="13"/>
      <c r="O369" s="13"/>
      <c r="P369" s="13"/>
    </row>
    <row r="370" spans="1:16" x14ac:dyDescent="0.35">
      <c r="A370" s="5">
        <v>369</v>
      </c>
      <c r="B370" s="6" t="s">
        <v>377</v>
      </c>
      <c r="C370" s="7">
        <v>60</v>
      </c>
      <c r="D370" s="7" t="str">
        <f>VLOOKUP(C370,'5-Genre Codes'!$A$1:$B$11,2,FALSE)</f>
        <v>Kids Fiction</v>
      </c>
      <c r="E370" s="8">
        <v>2011</v>
      </c>
      <c r="F370" s="6">
        <v>13825</v>
      </c>
      <c r="G370" s="6" t="str">
        <f>VLOOKUP(F370,'4-Actor Codes'!$A$1:$B$622,2,FALSE)</f>
        <v>Jason Lee</v>
      </c>
      <c r="H370" s="8" t="s">
        <v>13</v>
      </c>
      <c r="I370" s="9">
        <v>133107389</v>
      </c>
      <c r="J370" s="10">
        <v>215981134</v>
      </c>
      <c r="L370" s="10">
        <v>80000000</v>
      </c>
      <c r="M370" s="13"/>
      <c r="N370" s="13"/>
      <c r="O370" s="13"/>
      <c r="P370" s="13"/>
    </row>
    <row r="371" spans="1:16" ht="31" x14ac:dyDescent="0.35">
      <c r="A371" s="5">
        <v>370</v>
      </c>
      <c r="B371" s="6" t="s">
        <v>378</v>
      </c>
      <c r="C371" s="7">
        <v>50</v>
      </c>
      <c r="D371" s="7" t="str">
        <f>VLOOKUP(C371,'5-Genre Codes'!$A$1:$B$11,2,FALSE)</f>
        <v>Historical Fiction</v>
      </c>
      <c r="E371" s="8">
        <v>1986</v>
      </c>
      <c r="F371" s="6">
        <v>18715</v>
      </c>
      <c r="G371" s="6" t="str">
        <f>VLOOKUP(F371,'4-Actor Codes'!$A$1:$B$622,2,FALSE)</f>
        <v>Tom Berenger</v>
      </c>
      <c r="H371" s="8" t="s">
        <v>10</v>
      </c>
      <c r="I371" s="9">
        <v>132761962</v>
      </c>
      <c r="J371" s="10">
        <v>0</v>
      </c>
      <c r="K371" s="11" t="s">
        <v>1010</v>
      </c>
      <c r="L371" s="10">
        <v>6000000</v>
      </c>
      <c r="M371" s="13"/>
      <c r="N371" s="13"/>
      <c r="O371" s="13"/>
      <c r="P371" s="13"/>
    </row>
    <row r="372" spans="1:16" ht="31" x14ac:dyDescent="0.35">
      <c r="A372" s="5">
        <v>371</v>
      </c>
      <c r="B372" s="6" t="s">
        <v>379</v>
      </c>
      <c r="C372" s="7">
        <v>10</v>
      </c>
      <c r="D372" s="7" t="str">
        <f>VLOOKUP(C372,'5-Genre Codes'!$A$1:$B$11,2,FALSE)</f>
        <v>Contemporary Fiction</v>
      </c>
      <c r="E372" s="8">
        <v>2003</v>
      </c>
      <c r="F372" s="6">
        <v>18235</v>
      </c>
      <c r="G372" s="6" t="str">
        <f>VLOOKUP(F372,'4-Actor Codes'!$A$1:$B$622,2,FALSE)</f>
        <v>Steve Harris</v>
      </c>
      <c r="H372" s="8" t="s">
        <v>10</v>
      </c>
      <c r="I372" s="9">
        <v>132675402</v>
      </c>
      <c r="J372" s="10">
        <v>32000000</v>
      </c>
      <c r="L372" s="10">
        <v>20000000</v>
      </c>
      <c r="M372" s="13"/>
      <c r="N372" s="13"/>
      <c r="O372" s="13"/>
      <c r="P372" s="13"/>
    </row>
    <row r="373" spans="1:16" ht="31" x14ac:dyDescent="0.35">
      <c r="A373" s="5">
        <v>372</v>
      </c>
      <c r="B373" s="6" t="s">
        <v>380</v>
      </c>
      <c r="C373" s="7">
        <v>90</v>
      </c>
      <c r="D373" s="7" t="str">
        <f>VLOOKUP(C373,'5-Genre Codes'!$A$1:$B$11,2,FALSE)</f>
        <v>Super Hero</v>
      </c>
      <c r="E373" s="8">
        <v>2013</v>
      </c>
      <c r="F373" s="6">
        <v>13270</v>
      </c>
      <c r="G373" s="6" t="str">
        <f>VLOOKUP(F373,'4-Actor Codes'!$A$1:$B$622,2,FALSE)</f>
        <v>Hugh Jackman</v>
      </c>
      <c r="H373" s="8" t="s">
        <v>13</v>
      </c>
      <c r="I373" s="9">
        <v>132556852</v>
      </c>
      <c r="J373" s="10">
        <v>283900000</v>
      </c>
      <c r="L373" s="10">
        <v>115000000</v>
      </c>
      <c r="M373" s="13"/>
      <c r="N373" s="13"/>
      <c r="O373" s="13"/>
      <c r="P373" s="13"/>
    </row>
    <row r="374" spans="1:16" ht="46.5" x14ac:dyDescent="0.35">
      <c r="A374" s="5">
        <v>373</v>
      </c>
      <c r="B374" s="6" t="s">
        <v>381</v>
      </c>
      <c r="C374" s="7">
        <v>10</v>
      </c>
      <c r="D374" s="7" t="str">
        <f>VLOOKUP(C374,'5-Genre Codes'!$A$1:$B$11,2,FALSE)</f>
        <v>Contemporary Fiction</v>
      </c>
      <c r="E374" s="8">
        <v>2006</v>
      </c>
      <c r="F374" s="6">
        <v>12010</v>
      </c>
      <c r="G374" s="6" t="str">
        <f>VLOOKUP(F374,'4-Actor Codes'!$A$1:$B$622,2,FALSE)</f>
        <v>David Patrick O'Hara</v>
      </c>
      <c r="H374" s="8" t="s">
        <v>10</v>
      </c>
      <c r="I374" s="9">
        <v>132384315</v>
      </c>
      <c r="J374" s="10">
        <v>157276304</v>
      </c>
      <c r="K374" s="11" t="s">
        <v>1010</v>
      </c>
      <c r="L374" s="10">
        <v>90000000</v>
      </c>
      <c r="M374" s="13"/>
      <c r="N374" s="13"/>
      <c r="O374" s="13"/>
      <c r="P374" s="13"/>
    </row>
    <row r="375" spans="1:16" ht="31" x14ac:dyDescent="0.35">
      <c r="A375" s="5">
        <v>374</v>
      </c>
      <c r="B375" s="6" t="s">
        <v>382</v>
      </c>
      <c r="C375" s="7">
        <v>10</v>
      </c>
      <c r="D375" s="7" t="str">
        <f>VLOOKUP(C375,'5-Genre Codes'!$A$1:$B$11,2,FALSE)</f>
        <v>Contemporary Fiction</v>
      </c>
      <c r="E375" s="8">
        <v>1992</v>
      </c>
      <c r="F375" s="6">
        <v>16450</v>
      </c>
      <c r="G375" s="6" t="str">
        <f>VLOOKUP(F375,'4-Actor Codes'!$A$1:$B$622,2,FALSE)</f>
        <v>Nicky Katt</v>
      </c>
      <c r="H375" s="8" t="s">
        <v>10</v>
      </c>
      <c r="I375" s="9">
        <v>132303799</v>
      </c>
      <c r="J375" s="10">
        <v>91994850</v>
      </c>
      <c r="L375" s="10">
        <v>0</v>
      </c>
      <c r="M375" s="13"/>
      <c r="N375" s="13"/>
      <c r="O375" s="13"/>
      <c r="P375" s="13"/>
    </row>
    <row r="376" spans="1:16" ht="31" x14ac:dyDescent="0.35">
      <c r="A376" s="5">
        <v>375</v>
      </c>
      <c r="B376" s="6" t="s">
        <v>383</v>
      </c>
      <c r="C376" s="7">
        <v>90</v>
      </c>
      <c r="D376" s="7" t="str">
        <f>VLOOKUP(C376,'5-Genre Codes'!$A$1:$B$11,2,FALSE)</f>
        <v>Super Hero</v>
      </c>
      <c r="E376" s="8">
        <v>2003</v>
      </c>
      <c r="F376" s="6">
        <v>16090</v>
      </c>
      <c r="G376" s="6" t="str">
        <f>VLOOKUP(F376,'4-Actor Codes'!$A$1:$B$622,2,FALSE)</f>
        <v>Michael Papajohn</v>
      </c>
      <c r="H376" s="8" t="s">
        <v>10</v>
      </c>
      <c r="I376" s="9">
        <v>132177234</v>
      </c>
      <c r="J376" s="10">
        <v>113052000</v>
      </c>
      <c r="L376" s="10">
        <v>137000000</v>
      </c>
      <c r="M376" s="13"/>
      <c r="N376" s="13"/>
      <c r="O376" s="13"/>
      <c r="P376" s="13"/>
    </row>
    <row r="377" spans="1:16" ht="31" x14ac:dyDescent="0.35">
      <c r="A377" s="5">
        <v>376</v>
      </c>
      <c r="B377" s="6" t="s">
        <v>384</v>
      </c>
      <c r="C377" s="7">
        <v>10</v>
      </c>
      <c r="D377" s="7" t="str">
        <f>VLOOKUP(C377,'5-Genre Codes'!$A$1:$B$11,2,FALSE)</f>
        <v>Contemporary Fiction</v>
      </c>
      <c r="E377" s="8">
        <v>2012</v>
      </c>
      <c r="F377" s="6">
        <v>10945</v>
      </c>
      <c r="G377" s="6" t="str">
        <f>VLOOKUP(F377,'4-Actor Codes'!$A$1:$B$622,2,FALSE)</f>
        <v>Bradley Cooper</v>
      </c>
      <c r="H377" s="8" t="s">
        <v>10</v>
      </c>
      <c r="I377" s="9">
        <v>132092958</v>
      </c>
      <c r="J377" s="10">
        <v>104319495</v>
      </c>
      <c r="L377" s="10">
        <v>21000000</v>
      </c>
      <c r="M377" s="13"/>
      <c r="N377" s="13"/>
      <c r="O377" s="13"/>
      <c r="P377" s="13"/>
    </row>
    <row r="378" spans="1:16" x14ac:dyDescent="0.35">
      <c r="A378" s="5">
        <v>377</v>
      </c>
      <c r="B378" s="6" t="s">
        <v>385</v>
      </c>
      <c r="C378" s="7">
        <v>80</v>
      </c>
      <c r="D378" s="7" t="str">
        <f>VLOOKUP(C378,'5-Genre Codes'!$A$1:$B$11,2,FALSE)</f>
        <v>Science Fiction</v>
      </c>
      <c r="E378" s="8">
        <v>2002</v>
      </c>
      <c r="F378" s="6">
        <v>18745</v>
      </c>
      <c r="G378" s="6" t="str">
        <f>VLOOKUP(F378,'4-Actor Codes'!$A$1:$B$622,2,FALSE)</f>
        <v>Tom Cruise</v>
      </c>
      <c r="H378" s="8" t="s">
        <v>10</v>
      </c>
      <c r="I378" s="9">
        <v>132024714</v>
      </c>
      <c r="J378" s="10">
        <v>226800000</v>
      </c>
      <c r="L378" s="10">
        <v>102000000</v>
      </c>
      <c r="M378" s="13"/>
      <c r="N378" s="13"/>
      <c r="O378" s="13"/>
      <c r="P378" s="13"/>
    </row>
    <row r="379" spans="1:16" x14ac:dyDescent="0.35">
      <c r="A379" s="5">
        <v>378</v>
      </c>
      <c r="B379" s="6" t="s">
        <v>386</v>
      </c>
      <c r="C379" s="7">
        <v>90</v>
      </c>
      <c r="D379" s="7" t="str">
        <f>VLOOKUP(C379,'5-Genre Codes'!$A$1:$B$11,2,FALSE)</f>
        <v>Super Hero</v>
      </c>
      <c r="E379" s="8">
        <v>2007</v>
      </c>
      <c r="F379" s="6">
        <v>18160</v>
      </c>
      <c r="G379" s="6" t="str">
        <f>VLOOKUP(F379,'4-Actor Codes'!$A$1:$B$622,2,FALSE)</f>
        <v>Stan Lee</v>
      </c>
      <c r="H379" s="8" t="s">
        <v>13</v>
      </c>
      <c r="I379" s="9">
        <v>131921738</v>
      </c>
      <c r="J379" s="10">
        <v>156293581</v>
      </c>
      <c r="L379" s="10">
        <v>120000000</v>
      </c>
      <c r="M379" s="13"/>
      <c r="N379" s="13"/>
      <c r="O379" s="13"/>
      <c r="P379" s="13"/>
    </row>
    <row r="380" spans="1:16" x14ac:dyDescent="0.35">
      <c r="A380" s="5">
        <v>379</v>
      </c>
      <c r="B380" s="6" t="s">
        <v>387</v>
      </c>
      <c r="C380" s="7">
        <v>40</v>
      </c>
      <c r="D380" s="7" t="str">
        <f>VLOOKUP(C380,'5-Genre Codes'!$A$1:$B$11,2,FALSE)</f>
        <v>Fantasy</v>
      </c>
      <c r="E380" s="8">
        <v>2010</v>
      </c>
      <c r="F380" s="6">
        <v>11590</v>
      </c>
      <c r="G380" s="6" t="str">
        <f>VLOOKUP(F380,'4-Actor Codes'!$A$1:$B$622,2,FALSE)</f>
        <v>Cliff Curtis</v>
      </c>
      <c r="H380" s="8" t="s">
        <v>10</v>
      </c>
      <c r="I380" s="9">
        <v>131601062</v>
      </c>
      <c r="J380" s="10">
        <v>187941694</v>
      </c>
      <c r="L380" s="10">
        <v>150000000</v>
      </c>
      <c r="M380" s="13"/>
      <c r="N380" s="13"/>
      <c r="O380" s="13"/>
      <c r="P380" s="13"/>
    </row>
    <row r="381" spans="1:16" ht="31" x14ac:dyDescent="0.35">
      <c r="A381" s="5">
        <v>380</v>
      </c>
      <c r="B381" s="6" t="s">
        <v>388</v>
      </c>
      <c r="C381" s="7">
        <v>60</v>
      </c>
      <c r="D381" s="7" t="str">
        <f>VLOOKUP(C381,'5-Genre Codes'!$A$1:$B$11,2,FALSE)</f>
        <v>Kids Fiction</v>
      </c>
      <c r="E381" s="8">
        <v>2014</v>
      </c>
      <c r="F381" s="6">
        <v>14095</v>
      </c>
      <c r="G381" s="6" t="str">
        <f>VLOOKUP(F381,'4-Actor Codes'!$A$1:$B$622,2,FALSE)</f>
        <v>Jesse Eisenberg</v>
      </c>
      <c r="H381" s="8" t="s">
        <v>13</v>
      </c>
      <c r="I381" s="9">
        <v>131538435</v>
      </c>
      <c r="J381" s="10">
        <v>362200000</v>
      </c>
      <c r="L381" s="10">
        <v>130000000</v>
      </c>
      <c r="M381" s="13"/>
      <c r="N381" s="13"/>
      <c r="O381" s="13"/>
      <c r="P381" s="13"/>
    </row>
    <row r="382" spans="1:16" ht="31" x14ac:dyDescent="0.35">
      <c r="A382" s="5">
        <v>381</v>
      </c>
      <c r="B382" s="6" t="s">
        <v>389</v>
      </c>
      <c r="C382" s="7">
        <v>10</v>
      </c>
      <c r="D382" s="7" t="str">
        <f>VLOOKUP(C382,'5-Genre Codes'!$A$1:$B$11,2,FALSE)</f>
        <v>Contemporary Fiction</v>
      </c>
      <c r="E382" s="8">
        <v>2001</v>
      </c>
      <c r="F382" s="6">
        <v>14380</v>
      </c>
      <c r="G382" s="6" t="str">
        <f>VLOOKUP(F382,'4-Actor Codes'!$A$1:$B$622,2,FALSE)</f>
        <v>Jon Voight</v>
      </c>
      <c r="H382" s="8" t="s">
        <v>10</v>
      </c>
      <c r="I382" s="9">
        <v>131144183</v>
      </c>
      <c r="J382" s="10">
        <v>142186002</v>
      </c>
      <c r="L382" s="10">
        <v>94000000</v>
      </c>
      <c r="M382" s="13"/>
      <c r="N382" s="13"/>
      <c r="O382" s="13"/>
      <c r="P382" s="13"/>
    </row>
    <row r="383" spans="1:16" ht="31" x14ac:dyDescent="0.35">
      <c r="A383" s="5">
        <v>382</v>
      </c>
      <c r="B383" s="6" t="s">
        <v>390</v>
      </c>
      <c r="C383" s="7">
        <v>10</v>
      </c>
      <c r="D383" s="7" t="str">
        <f>VLOOKUP(C383,'5-Genre Codes'!$A$1:$B$11,2,FALSE)</f>
        <v>Contemporary Fiction</v>
      </c>
      <c r="E383" s="8">
        <v>2008</v>
      </c>
      <c r="F383" s="6">
        <v>18205</v>
      </c>
      <c r="G383" s="6" t="str">
        <f>VLOOKUP(F383,'4-Actor Codes'!$A$1:$B$622,2,FALSE)</f>
        <v>Steve Carell</v>
      </c>
      <c r="H383" s="8" t="s">
        <v>10</v>
      </c>
      <c r="I383" s="9">
        <v>130319208</v>
      </c>
      <c r="J383" s="10">
        <v>173381071</v>
      </c>
      <c r="L383" s="10">
        <v>150000000</v>
      </c>
      <c r="M383" s="13"/>
      <c r="N383" s="13"/>
      <c r="O383" s="13"/>
      <c r="P383" s="13"/>
    </row>
    <row r="384" spans="1:16" x14ac:dyDescent="0.35">
      <c r="A384" s="5">
        <v>383</v>
      </c>
      <c r="B384" s="6" t="s">
        <v>391</v>
      </c>
      <c r="C384" s="7">
        <v>80</v>
      </c>
      <c r="D384" s="7" t="str">
        <f>VLOOKUP(C384,'5-Genre Codes'!$A$1:$B$11,2,FALSE)</f>
        <v>Science Fiction</v>
      </c>
      <c r="E384" s="8">
        <v>2015</v>
      </c>
      <c r="F384" s="6">
        <v>18520</v>
      </c>
      <c r="G384" s="6" t="str">
        <f>VLOOKUP(F384,'4-Actor Codes'!$A$1:$B$622,2,FALSE)</f>
        <v>Theo James</v>
      </c>
      <c r="H384" s="8" t="s">
        <v>13</v>
      </c>
      <c r="I384" s="9">
        <v>130179072</v>
      </c>
      <c r="J384" s="10">
        <v>165100000</v>
      </c>
      <c r="L384" s="10">
        <v>110000000</v>
      </c>
      <c r="M384" s="13"/>
      <c r="N384" s="13"/>
      <c r="O384" s="13"/>
      <c r="P384" s="13"/>
    </row>
    <row r="385" spans="1:16" ht="31" x14ac:dyDescent="0.35">
      <c r="A385" s="5">
        <v>384</v>
      </c>
      <c r="B385" s="6" t="s">
        <v>392</v>
      </c>
      <c r="C385" s="7">
        <v>20</v>
      </c>
      <c r="D385" s="7" t="str">
        <f>VLOOKUP(C385,'5-Genre Codes'!$A$1:$B$11,2,FALSE)</f>
        <v>Dramatization</v>
      </c>
      <c r="E385" s="8">
        <v>2007</v>
      </c>
      <c r="F385" s="6">
        <v>14860</v>
      </c>
      <c r="G385" s="6" t="str">
        <f>VLOOKUP(F385,'4-Actor Codes'!$A$1:$B$622,2,FALSE)</f>
        <v>Kevin Corrigan</v>
      </c>
      <c r="H385" s="8" t="s">
        <v>10</v>
      </c>
      <c r="I385" s="9">
        <v>130164645</v>
      </c>
      <c r="J385" s="10">
        <v>137820811</v>
      </c>
      <c r="L385" s="10">
        <v>100000000</v>
      </c>
      <c r="M385" s="13"/>
      <c r="N385" s="13"/>
      <c r="O385" s="13"/>
      <c r="P385" s="13"/>
    </row>
    <row r="386" spans="1:16" ht="31" x14ac:dyDescent="0.35">
      <c r="A386" s="5">
        <v>385</v>
      </c>
      <c r="B386" s="6" t="s">
        <v>393</v>
      </c>
      <c r="C386" s="7">
        <v>10</v>
      </c>
      <c r="D386" s="7" t="str">
        <f>VLOOKUP(C386,'5-Genre Codes'!$A$1:$B$11,2,FALSE)</f>
        <v>Contemporary Fiction</v>
      </c>
      <c r="E386" s="8">
        <v>1999</v>
      </c>
      <c r="F386" s="6">
        <v>18310</v>
      </c>
      <c r="G386" s="6" t="str">
        <f>VLOOKUP(F386,'4-Actor Codes'!$A$1:$B$622,2,FALSE)</f>
        <v>Sue Casey</v>
      </c>
      <c r="H386" s="8" t="s">
        <v>10</v>
      </c>
      <c r="I386" s="9">
        <v>130058047</v>
      </c>
      <c r="J386" s="10">
        <v>226200000</v>
      </c>
      <c r="K386" s="11" t="s">
        <v>1010</v>
      </c>
      <c r="L386" s="10">
        <v>15000000</v>
      </c>
      <c r="M386" s="13"/>
      <c r="N386" s="13"/>
      <c r="O386" s="13"/>
      <c r="P386" s="13"/>
    </row>
    <row r="387" spans="1:16" x14ac:dyDescent="0.35">
      <c r="A387" s="5">
        <v>386</v>
      </c>
      <c r="B387" s="6" t="s">
        <v>394</v>
      </c>
      <c r="C387" s="7">
        <v>80</v>
      </c>
      <c r="D387" s="7" t="str">
        <f>VLOOKUP(C387,'5-Genre Codes'!$A$1:$B$11,2,FALSE)</f>
        <v>Science Fiction</v>
      </c>
      <c r="E387" s="8">
        <v>1989</v>
      </c>
      <c r="F387" s="6">
        <v>15715</v>
      </c>
      <c r="G387" s="6" t="str">
        <f>VLOOKUP(F387,'4-Actor Codes'!$A$1:$B$622,2,FALSE)</f>
        <v>Matt Frewer</v>
      </c>
      <c r="H387" s="8" t="s">
        <v>10</v>
      </c>
      <c r="I387" s="9">
        <v>129906514</v>
      </c>
      <c r="J387" s="10">
        <v>91975828</v>
      </c>
      <c r="L387" s="10">
        <v>0</v>
      </c>
      <c r="M387" s="13"/>
      <c r="N387" s="13"/>
      <c r="O387" s="13"/>
      <c r="P387" s="13"/>
    </row>
    <row r="388" spans="1:16" ht="31" x14ac:dyDescent="0.35">
      <c r="A388" s="5">
        <v>387</v>
      </c>
      <c r="B388" s="6" t="s">
        <v>395</v>
      </c>
      <c r="C388" s="7">
        <v>10</v>
      </c>
      <c r="D388" s="7" t="str">
        <f>VLOOKUP(C388,'5-Genre Codes'!$A$1:$B$11,2,FALSE)</f>
        <v>Contemporary Fiction</v>
      </c>
      <c r="E388" s="8">
        <v>1998</v>
      </c>
      <c r="F388" s="6">
        <v>15865</v>
      </c>
      <c r="G388" s="6" t="str">
        <f>VLOOKUP(F388,'4-Actor Codes'!$A$1:$B$622,2,FALSE)</f>
        <v>Mel Gibson</v>
      </c>
      <c r="H388" s="8" t="s">
        <v>13</v>
      </c>
      <c r="I388" s="9">
        <v>129734803</v>
      </c>
      <c r="J388" s="10">
        <v>154955397</v>
      </c>
      <c r="L388" s="10">
        <v>140000000</v>
      </c>
      <c r="M388" s="13"/>
      <c r="N388" s="13"/>
      <c r="O388" s="13"/>
      <c r="P388" s="13"/>
    </row>
    <row r="389" spans="1:16" ht="31" x14ac:dyDescent="0.35">
      <c r="A389" s="5">
        <v>388</v>
      </c>
      <c r="B389" s="6" t="s">
        <v>396</v>
      </c>
      <c r="C389" s="7">
        <v>10</v>
      </c>
      <c r="D389" s="7" t="str">
        <f>VLOOKUP(C389,'5-Genre Codes'!$A$1:$B$11,2,FALSE)</f>
        <v>Contemporary Fiction</v>
      </c>
      <c r="E389" s="8">
        <v>2002</v>
      </c>
      <c r="F389" s="6">
        <v>16375</v>
      </c>
      <c r="G389" s="6" t="str">
        <f>VLOOKUP(F389,'4-Actor Codes'!$A$1:$B$622,2,FALSE)</f>
        <v>Naomi Watts</v>
      </c>
      <c r="H389" s="8" t="s">
        <v>10</v>
      </c>
      <c r="I389" s="9">
        <v>129094024</v>
      </c>
      <c r="J389" s="10">
        <v>119124462</v>
      </c>
      <c r="L389" s="10">
        <v>48000000</v>
      </c>
      <c r="M389" s="13"/>
      <c r="N389" s="13"/>
      <c r="O389" s="13"/>
      <c r="P389" s="13"/>
    </row>
    <row r="390" spans="1:16" ht="31" x14ac:dyDescent="0.35">
      <c r="A390" s="5">
        <v>389</v>
      </c>
      <c r="B390" s="6" t="s">
        <v>397</v>
      </c>
      <c r="C390" s="7">
        <v>60</v>
      </c>
      <c r="D390" s="7" t="str">
        <f>VLOOKUP(C390,'5-Genre Codes'!$A$1:$B$11,2,FALSE)</f>
        <v>Kids Fiction</v>
      </c>
      <c r="E390" s="8">
        <v>1996</v>
      </c>
      <c r="F390" s="6">
        <v>13510</v>
      </c>
      <c r="G390" s="6" t="str">
        <f>VLOOKUP(F390,'4-Actor Codes'!$A$1:$B$622,2,FALSE)</f>
        <v>Jada Pinkett Smith</v>
      </c>
      <c r="H390" s="8" t="s">
        <v>10</v>
      </c>
      <c r="I390" s="9">
        <v>128769345</v>
      </c>
      <c r="J390" s="10">
        <v>145000000</v>
      </c>
      <c r="L390" s="10">
        <v>55000000</v>
      </c>
      <c r="M390" s="13"/>
      <c r="N390" s="13"/>
      <c r="O390" s="13"/>
      <c r="P390" s="13"/>
    </row>
    <row r="391" spans="1:16" ht="31" x14ac:dyDescent="0.35">
      <c r="A391" s="5">
        <v>390</v>
      </c>
      <c r="B391" s="6" t="s">
        <v>398</v>
      </c>
      <c r="C391" s="7">
        <v>10</v>
      </c>
      <c r="D391" s="7" t="str">
        <f>VLOOKUP(C391,'5-Genre Codes'!$A$1:$B$11,2,FALSE)</f>
        <v>Contemporary Fiction</v>
      </c>
      <c r="E391" s="8">
        <v>2006</v>
      </c>
      <c r="F391" s="6">
        <v>14815</v>
      </c>
      <c r="G391" s="6" t="str">
        <f>VLOOKUP(F391,'4-Actor Codes'!$A$1:$B$622,2,FALSE)</f>
        <v>Ken Davitian</v>
      </c>
      <c r="H391" s="8" t="s">
        <v>10</v>
      </c>
      <c r="I391" s="9">
        <v>128505958</v>
      </c>
      <c r="J391" s="10">
        <v>132937284</v>
      </c>
      <c r="L391" s="10">
        <v>18000000</v>
      </c>
      <c r="M391" s="13"/>
      <c r="N391" s="13"/>
      <c r="O391" s="13"/>
      <c r="P391" s="13"/>
    </row>
    <row r="392" spans="1:16" ht="31" x14ac:dyDescent="0.35">
      <c r="A392" s="5">
        <v>391</v>
      </c>
      <c r="B392" s="6" t="s">
        <v>399</v>
      </c>
      <c r="C392" s="7">
        <v>10</v>
      </c>
      <c r="D392" s="7" t="str">
        <f>VLOOKUP(C392,'5-Genre Codes'!$A$1:$B$11,2,FALSE)</f>
        <v>Contemporary Fiction</v>
      </c>
      <c r="E392" s="8">
        <v>2014</v>
      </c>
      <c r="F392" s="6">
        <v>11635</v>
      </c>
      <c r="G392" s="6" t="str">
        <f>VLOOKUP(F392,'4-Actor Codes'!$A$1:$B$622,2,FALSE)</f>
        <v>Colin Firth</v>
      </c>
      <c r="H392" s="8" t="s">
        <v>10</v>
      </c>
      <c r="I392" s="9">
        <v>128261724</v>
      </c>
      <c r="J392" s="10">
        <v>276300000</v>
      </c>
      <c r="L392" s="10">
        <v>0</v>
      </c>
      <c r="M392" s="13"/>
      <c r="N392" s="13"/>
      <c r="O392" s="13"/>
      <c r="P392" s="13"/>
    </row>
    <row r="393" spans="1:16" ht="31" x14ac:dyDescent="0.35">
      <c r="A393" s="5">
        <v>392</v>
      </c>
      <c r="B393" s="6" t="s">
        <v>400</v>
      </c>
      <c r="C393" s="7">
        <v>60</v>
      </c>
      <c r="D393" s="7" t="str">
        <f>VLOOKUP(C393,'5-Genre Codes'!$A$1:$B$11,2,FALSE)</f>
        <v>Kids Fiction</v>
      </c>
      <c r="E393" s="8">
        <v>2005</v>
      </c>
      <c r="F393" s="6">
        <v>12610</v>
      </c>
      <c r="G393" s="6" t="str">
        <f>VLOOKUP(F393,'4-Actor Codes'!$A$1:$B$622,2,FALSE)</f>
        <v>Ewan McGregor</v>
      </c>
      <c r="H393" s="8" t="s">
        <v>10</v>
      </c>
      <c r="I393" s="9">
        <v>128200012</v>
      </c>
      <c r="J393" s="10">
        <v>132500000</v>
      </c>
      <c r="L393" s="10">
        <v>80000000</v>
      </c>
      <c r="M393" s="13"/>
      <c r="N393" s="13"/>
      <c r="O393" s="13"/>
      <c r="P393" s="13"/>
    </row>
    <row r="394" spans="1:16" x14ac:dyDescent="0.35">
      <c r="A394" s="5">
        <v>393</v>
      </c>
      <c r="B394" s="6" t="s">
        <v>401</v>
      </c>
      <c r="C394" s="7">
        <v>40</v>
      </c>
      <c r="D394" s="7" t="str">
        <f>VLOOKUP(C394,'5-Genre Codes'!$A$1:$B$11,2,FALSE)</f>
        <v>Fantasy</v>
      </c>
      <c r="E394" s="8">
        <v>2000</v>
      </c>
      <c r="F394" s="6">
        <v>15250</v>
      </c>
      <c r="G394" s="6" t="str">
        <f>VLOOKUP(F394,'4-Actor Codes'!$A$1:$B$622,2,FALSE)</f>
        <v>Li Li</v>
      </c>
      <c r="H394" s="8" t="s">
        <v>10</v>
      </c>
      <c r="I394" s="9">
        <v>128067808</v>
      </c>
      <c r="J394" s="10">
        <v>85132192</v>
      </c>
      <c r="L394" s="10">
        <v>15000000</v>
      </c>
      <c r="M394" s="13"/>
      <c r="N394" s="13"/>
      <c r="O394" s="13"/>
      <c r="P394" s="13"/>
    </row>
    <row r="395" spans="1:16" ht="31" x14ac:dyDescent="0.35">
      <c r="A395" s="5">
        <v>394</v>
      </c>
      <c r="B395" s="6" t="s">
        <v>402</v>
      </c>
      <c r="C395" s="7">
        <v>50</v>
      </c>
      <c r="D395" s="7" t="str">
        <f>VLOOKUP(C395,'5-Genre Codes'!$A$1:$B$11,2,FALSE)</f>
        <v>Historical Fiction</v>
      </c>
      <c r="E395" s="8">
        <v>2009</v>
      </c>
      <c r="F395" s="6">
        <v>15205</v>
      </c>
      <c r="G395" s="6" t="str">
        <f>VLOOKUP(F395,'4-Actor Codes'!$A$1:$B$622,2,FALSE)</f>
        <v>Leonardo DiCaprio</v>
      </c>
      <c r="H395" s="8" t="s">
        <v>10</v>
      </c>
      <c r="I395" s="9">
        <v>128012934</v>
      </c>
      <c r="J395" s="10">
        <v>171448848</v>
      </c>
      <c r="L395" s="10">
        <v>80000000</v>
      </c>
      <c r="M395" s="13"/>
      <c r="N395" s="13"/>
      <c r="O395" s="13"/>
      <c r="P395" s="13"/>
    </row>
    <row r="396" spans="1:16" ht="31" x14ac:dyDescent="0.35">
      <c r="A396" s="5">
        <v>395</v>
      </c>
      <c r="B396" s="6" t="s">
        <v>403</v>
      </c>
      <c r="C396" s="7">
        <v>40</v>
      </c>
      <c r="D396" s="7" t="str">
        <f>VLOOKUP(C396,'5-Genre Codes'!$A$1:$B$11,2,FALSE)</f>
        <v>Fantasy</v>
      </c>
      <c r="E396" s="8">
        <v>2014</v>
      </c>
      <c r="F396" s="6">
        <v>14350</v>
      </c>
      <c r="G396" s="6" t="str">
        <f>VLOOKUP(F396,'4-Actor Codes'!$A$1:$B$622,2,FALSE)</f>
        <v>Johnny Depp</v>
      </c>
      <c r="H396" s="8" t="s">
        <v>10</v>
      </c>
      <c r="I396" s="9">
        <v>128002372</v>
      </c>
      <c r="J396" s="10">
        <v>75500000</v>
      </c>
      <c r="L396" s="10">
        <v>50000000</v>
      </c>
      <c r="M396" s="13"/>
      <c r="N396" s="13"/>
      <c r="O396" s="13"/>
      <c r="P396" s="13"/>
    </row>
    <row r="397" spans="1:16" ht="31" x14ac:dyDescent="0.35">
      <c r="A397" s="5">
        <v>396</v>
      </c>
      <c r="B397" s="6" t="s">
        <v>404</v>
      </c>
      <c r="C397" s="7">
        <v>40</v>
      </c>
      <c r="D397" s="7" t="str">
        <f>VLOOKUP(C397,'5-Genre Codes'!$A$1:$B$11,2,FALSE)</f>
        <v>Fantasy</v>
      </c>
      <c r="E397" s="8">
        <v>2007</v>
      </c>
      <c r="F397" s="6">
        <v>17125</v>
      </c>
      <c r="G397" s="6" t="str">
        <f>VLOOKUP(F397,'4-Actor Codes'!$A$1:$B$622,2,FALSE)</f>
        <v>Richard Covey</v>
      </c>
      <c r="H397" s="8" t="s">
        <v>10</v>
      </c>
      <c r="I397" s="9">
        <v>127706877</v>
      </c>
      <c r="J397" s="10">
        <v>212677264</v>
      </c>
      <c r="L397" s="10">
        <v>85000000</v>
      </c>
      <c r="M397" s="13"/>
      <c r="N397" s="13"/>
      <c r="O397" s="13"/>
      <c r="P397" s="13"/>
    </row>
    <row r="398" spans="1:16" ht="31" x14ac:dyDescent="0.35">
      <c r="A398" s="5">
        <v>397</v>
      </c>
      <c r="B398" s="6" t="s">
        <v>405</v>
      </c>
      <c r="C398" s="7">
        <v>40</v>
      </c>
      <c r="D398" s="7" t="str">
        <f>VLOOKUP(C398,'5-Genre Codes'!$A$1:$B$11,2,FALSE)</f>
        <v>Fantasy</v>
      </c>
      <c r="E398" s="8">
        <v>2008</v>
      </c>
      <c r="F398" s="6">
        <v>15415</v>
      </c>
      <c r="G398" s="6" t="str">
        <f>VLOOKUP(F398,'4-Actor Codes'!$A$1:$B$622,2,FALSE)</f>
        <v>Madisen Beaty</v>
      </c>
      <c r="H398" s="8" t="s">
        <v>10</v>
      </c>
      <c r="I398" s="9">
        <v>127509326</v>
      </c>
      <c r="J398" s="10">
        <v>202300000</v>
      </c>
      <c r="L398" s="10">
        <v>160000000</v>
      </c>
      <c r="M398" s="13"/>
      <c r="N398" s="13"/>
      <c r="O398" s="13"/>
      <c r="P398" s="13"/>
    </row>
    <row r="399" spans="1:16" ht="31" x14ac:dyDescent="0.35">
      <c r="A399" s="5">
        <v>398</v>
      </c>
      <c r="B399" s="6" t="s">
        <v>406</v>
      </c>
      <c r="C399" s="7">
        <v>50</v>
      </c>
      <c r="D399" s="7" t="str">
        <f>VLOOKUP(C399,'5-Genre Codes'!$A$1:$B$11,2,FALSE)</f>
        <v>Historical Fiction</v>
      </c>
      <c r="E399" s="8">
        <v>2011</v>
      </c>
      <c r="F399" s="6">
        <v>11470</v>
      </c>
      <c r="G399" s="6" t="str">
        <f>VLOOKUP(F399,'4-Actor Codes'!$A$1:$B$622,2,FALSE)</f>
        <v>Christina Applegate</v>
      </c>
      <c r="H399" s="8" t="s">
        <v>13</v>
      </c>
      <c r="I399" s="9">
        <v>127352707</v>
      </c>
      <c r="J399" s="10">
        <v>44833047</v>
      </c>
      <c r="L399" s="10">
        <v>50000000</v>
      </c>
      <c r="M399" s="13"/>
      <c r="N399" s="13"/>
      <c r="O399" s="13"/>
      <c r="P399" s="13"/>
    </row>
    <row r="400" spans="1:16" ht="31" x14ac:dyDescent="0.35">
      <c r="A400" s="5">
        <v>399</v>
      </c>
      <c r="B400" s="6" t="s">
        <v>407</v>
      </c>
      <c r="C400" s="7">
        <v>10</v>
      </c>
      <c r="D400" s="7" t="str">
        <f>VLOOKUP(C400,'5-Genre Codes'!$A$1:$B$11,2,FALSE)</f>
        <v>Contemporary Fiction</v>
      </c>
      <c r="E400" s="8">
        <v>1982</v>
      </c>
      <c r="F400" s="6">
        <v>17155</v>
      </c>
      <c r="G400" s="6" t="str">
        <f>VLOOKUP(F400,'4-Actor Codes'!$A$1:$B$622,2,FALSE)</f>
        <v>Richard Gere</v>
      </c>
      <c r="H400" s="8" t="s">
        <v>10</v>
      </c>
      <c r="I400" s="9">
        <v>127311887</v>
      </c>
      <c r="J400" s="10">
        <v>67040820</v>
      </c>
      <c r="L400" s="10">
        <v>46000000</v>
      </c>
      <c r="M400" s="13"/>
      <c r="N400" s="13"/>
      <c r="O400" s="13"/>
      <c r="P400" s="13"/>
    </row>
    <row r="401" spans="1:16" ht="46.5" x14ac:dyDescent="0.35">
      <c r="A401" s="5">
        <v>400</v>
      </c>
      <c r="B401" s="6" t="s">
        <v>408</v>
      </c>
      <c r="C401" s="7">
        <v>10</v>
      </c>
      <c r="D401" s="7" t="str">
        <f>VLOOKUP(C401,'5-Genre Codes'!$A$1:$B$11,2,FALSE)</f>
        <v>Contemporary Fiction</v>
      </c>
      <c r="E401" s="8">
        <v>2002</v>
      </c>
      <c r="F401" s="6">
        <v>17110</v>
      </c>
      <c r="G401" s="6" t="str">
        <f>VLOOKUP(F401,'4-Actor Codes'!$A$1:$B$622,2,FALSE)</f>
        <v>Reese Witherspoon</v>
      </c>
      <c r="H401" s="8" t="s">
        <v>10</v>
      </c>
      <c r="I401" s="9">
        <v>127214072</v>
      </c>
      <c r="J401" s="10">
        <v>55151042</v>
      </c>
      <c r="L401" s="10">
        <v>38000000</v>
      </c>
      <c r="M401" s="13"/>
      <c r="N401" s="13"/>
      <c r="O401" s="13"/>
      <c r="P401" s="13"/>
    </row>
    <row r="402" spans="1:16" ht="31" x14ac:dyDescent="0.35">
      <c r="A402" s="5">
        <v>401</v>
      </c>
      <c r="B402" s="6" t="s">
        <v>409</v>
      </c>
      <c r="C402" s="7">
        <v>10</v>
      </c>
      <c r="D402" s="7" t="str">
        <f>VLOOKUP(C402,'5-Genre Codes'!$A$1:$B$11,2,FALSE)</f>
        <v>Contemporary Fiction</v>
      </c>
      <c r="E402" s="8">
        <v>1994</v>
      </c>
      <c r="F402" s="6">
        <v>13105</v>
      </c>
      <c r="G402" s="6" t="str">
        <f>VLOOKUP(F402,'4-Actor Codes'!$A$1:$B$622,2,FALSE)</f>
        <v>Hank Brandt</v>
      </c>
      <c r="H402" s="8" t="s">
        <v>10</v>
      </c>
      <c r="I402" s="9">
        <v>127140750</v>
      </c>
      <c r="J402" s="10">
        <v>119224626</v>
      </c>
      <c r="L402" s="10">
        <v>16000000</v>
      </c>
      <c r="M402" s="13"/>
      <c r="N402" s="13"/>
      <c r="O402" s="13"/>
      <c r="P402" s="13"/>
    </row>
    <row r="403" spans="1:16" ht="31" x14ac:dyDescent="0.35">
      <c r="A403" s="5">
        <v>402</v>
      </c>
      <c r="B403" s="6" t="s">
        <v>410</v>
      </c>
      <c r="C403" s="7">
        <v>10</v>
      </c>
      <c r="D403" s="7" t="str">
        <f>VLOOKUP(C403,'5-Genre Codes'!$A$1:$B$11,2,FALSE)</f>
        <v>Contemporary Fiction</v>
      </c>
      <c r="E403" s="8">
        <v>2003</v>
      </c>
      <c r="F403" s="6">
        <v>17380</v>
      </c>
      <c r="G403" s="6" t="str">
        <f>VLOOKUP(F403,'4-Actor Codes'!$A$1:$B$622,2,FALSE)</f>
        <v>Roberto Sanz</v>
      </c>
      <c r="H403" s="8" t="s">
        <v>13</v>
      </c>
      <c r="I403" s="9">
        <v>127120058</v>
      </c>
      <c r="J403" s="10">
        <v>109290549</v>
      </c>
      <c r="L403" s="10">
        <v>76000000</v>
      </c>
      <c r="M403" s="13"/>
      <c r="N403" s="13"/>
      <c r="O403" s="13"/>
      <c r="P403" s="13"/>
    </row>
    <row r="404" spans="1:16" ht="31" x14ac:dyDescent="0.35">
      <c r="A404" s="5">
        <v>403</v>
      </c>
      <c r="B404" s="6" t="s">
        <v>411</v>
      </c>
      <c r="C404" s="7">
        <v>80</v>
      </c>
      <c r="D404" s="7" t="str">
        <f>VLOOKUP(C404,'5-Genre Codes'!$A$1:$B$11,2,FALSE)</f>
        <v>Science Fiction</v>
      </c>
      <c r="E404" s="8">
        <v>2010</v>
      </c>
      <c r="F404" s="6">
        <v>15040</v>
      </c>
      <c r="G404" s="6" t="str">
        <f>VLOOKUP(F404,'4-Actor Codes'!$A$1:$B$622,2,FALSE)</f>
        <v>Kyle Chandler</v>
      </c>
      <c r="H404" s="8" t="s">
        <v>10</v>
      </c>
      <c r="I404" s="9">
        <v>127004179</v>
      </c>
      <c r="J404" s="10">
        <v>130968566</v>
      </c>
      <c r="L404" s="10">
        <v>50000000</v>
      </c>
      <c r="M404" s="13"/>
      <c r="N404" s="13"/>
      <c r="O404" s="13"/>
      <c r="P404" s="13"/>
    </row>
    <row r="405" spans="1:16" ht="31" x14ac:dyDescent="0.35">
      <c r="A405" s="5">
        <v>404</v>
      </c>
      <c r="B405" s="6" t="s">
        <v>412</v>
      </c>
      <c r="C405" s="7">
        <v>10</v>
      </c>
      <c r="D405" s="7" t="str">
        <f>VLOOKUP(C405,'5-Genre Codes'!$A$1:$B$11,2,FALSE)</f>
        <v>Contemporary Fiction</v>
      </c>
      <c r="E405" s="8">
        <v>1999</v>
      </c>
      <c r="F405" s="6">
        <v>16975</v>
      </c>
      <c r="G405" s="6" t="str">
        <f>VLOOKUP(F405,'4-Actor Codes'!$A$1:$B$622,2,FALSE)</f>
        <v>Pierce Brosnan</v>
      </c>
      <c r="H405" s="8" t="s">
        <v>13</v>
      </c>
      <c r="I405" s="9">
        <v>126930660</v>
      </c>
      <c r="J405" s="10">
        <v>234800000</v>
      </c>
      <c r="L405" s="10">
        <v>135000000</v>
      </c>
      <c r="M405" s="13"/>
      <c r="N405" s="13"/>
      <c r="O405" s="13"/>
      <c r="P405" s="13"/>
    </row>
    <row r="406" spans="1:16" ht="31" x14ac:dyDescent="0.35">
      <c r="A406" s="5">
        <v>405</v>
      </c>
      <c r="B406" s="6" t="s">
        <v>413</v>
      </c>
      <c r="C406" s="7">
        <v>10</v>
      </c>
      <c r="D406" s="7" t="str">
        <f>VLOOKUP(C406,'5-Genre Codes'!$A$1:$B$11,2,FALSE)</f>
        <v>Contemporary Fiction</v>
      </c>
      <c r="E406" s="8">
        <v>1997</v>
      </c>
      <c r="F406" s="6">
        <v>14530</v>
      </c>
      <c r="G406" s="6" t="str">
        <f>VLOOKUP(F406,'4-Actor Codes'!$A$1:$B$622,2,FALSE)</f>
        <v>Julia Roberts</v>
      </c>
      <c r="H406" s="8" t="s">
        <v>10</v>
      </c>
      <c r="I406" s="9">
        <v>126805112</v>
      </c>
      <c r="J406" s="10">
        <v>172110266</v>
      </c>
      <c r="L406" s="10">
        <v>46000000</v>
      </c>
      <c r="M406" s="13"/>
      <c r="N406" s="13"/>
      <c r="O406" s="13"/>
      <c r="P406" s="13"/>
    </row>
    <row r="407" spans="1:16" ht="31" x14ac:dyDescent="0.35">
      <c r="A407" s="5">
        <v>406</v>
      </c>
      <c r="B407" s="6" t="s">
        <v>414</v>
      </c>
      <c r="C407" s="7">
        <v>10</v>
      </c>
      <c r="D407" s="7" t="str">
        <f>VLOOKUP(C407,'5-Genre Codes'!$A$1:$B$11,2,FALSE)</f>
        <v>Contemporary Fiction</v>
      </c>
      <c r="E407" s="8">
        <v>1977</v>
      </c>
      <c r="F407" s="6">
        <v>17680</v>
      </c>
      <c r="G407" s="6" t="str">
        <f>VLOOKUP(F407,'4-Actor Codes'!$A$1:$B$622,2,FALSE)</f>
        <v>Sally Field</v>
      </c>
      <c r="H407" s="8" t="s">
        <v>10</v>
      </c>
      <c r="I407" s="9">
        <v>126737428</v>
      </c>
      <c r="J407" s="10">
        <v>243199737</v>
      </c>
      <c r="L407" s="10">
        <v>14000000</v>
      </c>
      <c r="M407" s="13"/>
      <c r="N407" s="13"/>
      <c r="O407" s="13"/>
      <c r="P407" s="13"/>
    </row>
    <row r="408" spans="1:16" ht="31" x14ac:dyDescent="0.35">
      <c r="A408" s="5">
        <v>407</v>
      </c>
      <c r="B408" s="6" t="s">
        <v>415</v>
      </c>
      <c r="C408" s="7">
        <v>60</v>
      </c>
      <c r="D408" s="7" t="str">
        <f>VLOOKUP(C408,'5-Genre Codes'!$A$1:$B$11,2,FALSE)</f>
        <v>Kids Fiction</v>
      </c>
      <c r="E408" s="8">
        <v>2007</v>
      </c>
      <c r="F408" s="6">
        <v>18940</v>
      </c>
      <c r="G408" s="6" t="str">
        <f>VLOOKUP(F408,'4-Actor Codes'!$A$1:$B$622,2,FALSE)</f>
        <v>Tress MacNeille</v>
      </c>
      <c r="H408" s="8" t="s">
        <v>10</v>
      </c>
      <c r="I408" s="9">
        <v>126631277</v>
      </c>
      <c r="J408" s="10">
        <v>160963300</v>
      </c>
      <c r="L408" s="10">
        <v>150000000</v>
      </c>
      <c r="M408" s="13"/>
      <c r="N408" s="13"/>
      <c r="O408" s="13"/>
      <c r="P408" s="13"/>
    </row>
    <row r="409" spans="1:16" ht="31" x14ac:dyDescent="0.35">
      <c r="A409" s="5">
        <v>408</v>
      </c>
      <c r="B409" s="6" t="s">
        <v>416</v>
      </c>
      <c r="C409" s="7">
        <v>80</v>
      </c>
      <c r="D409" s="7" t="str">
        <f>VLOOKUP(C409,'5-Genre Codes'!$A$1:$B$11,2,FALSE)</f>
        <v>Science Fiction</v>
      </c>
      <c r="E409" s="8">
        <v>2014</v>
      </c>
      <c r="F409" s="6">
        <v>17830</v>
      </c>
      <c r="G409" s="6" t="str">
        <f>VLOOKUP(F409,'4-Actor Codes'!$A$1:$B$622,2,FALSE)</f>
        <v>Scarlett Johansson</v>
      </c>
      <c r="H409" s="8" t="s">
        <v>10</v>
      </c>
      <c r="I409" s="9">
        <v>126573960</v>
      </c>
      <c r="J409" s="10">
        <v>324000000</v>
      </c>
      <c r="L409" s="10">
        <v>40000000</v>
      </c>
      <c r="M409" s="13"/>
      <c r="N409" s="13"/>
      <c r="O409" s="13"/>
      <c r="P409" s="13"/>
    </row>
    <row r="410" spans="1:16" ht="31" x14ac:dyDescent="0.35">
      <c r="A410" s="5">
        <v>409</v>
      </c>
      <c r="B410" s="6" t="s">
        <v>417</v>
      </c>
      <c r="C410" s="7">
        <v>80</v>
      </c>
      <c r="D410" s="7" t="str">
        <f>VLOOKUP(C410,'5-Genre Codes'!$A$1:$B$11,2,FALSE)</f>
        <v>Science Fiction</v>
      </c>
      <c r="E410" s="8">
        <v>2011</v>
      </c>
      <c r="F410" s="6">
        <v>16540</v>
      </c>
      <c r="G410" s="6" t="str">
        <f>VLOOKUP(F410,'4-Actor Codes'!$A$1:$B$622,2,FALSE)</f>
        <v>Noomi Rapace</v>
      </c>
      <c r="H410" s="8" t="s">
        <v>10</v>
      </c>
      <c r="I410" s="9">
        <v>126477084</v>
      </c>
      <c r="J410" s="10">
        <v>272528622</v>
      </c>
      <c r="L410" s="10">
        <v>125000000</v>
      </c>
      <c r="M410" s="13"/>
      <c r="N410" s="13"/>
      <c r="O410" s="13"/>
      <c r="P410" s="13"/>
    </row>
    <row r="411" spans="1:16" ht="31" x14ac:dyDescent="0.35">
      <c r="A411" s="5">
        <v>410</v>
      </c>
      <c r="B411" s="6" t="s">
        <v>418</v>
      </c>
      <c r="C411" s="7">
        <v>10</v>
      </c>
      <c r="D411" s="7" t="str">
        <f>VLOOKUP(C411,'5-Genre Codes'!$A$1:$B$11,2,FALSE)</f>
        <v>Contemporary Fiction</v>
      </c>
      <c r="E411" s="8">
        <v>2002</v>
      </c>
      <c r="F411" s="6">
        <v>10015</v>
      </c>
      <c r="G411" s="6" t="str">
        <f>VLOOKUP(F411,'4-Actor Codes'!$A$1:$B$622,2,FALSE)</f>
        <v>Adam Sandler</v>
      </c>
      <c r="H411" s="8" t="s">
        <v>10</v>
      </c>
      <c r="I411" s="9">
        <v>126203320</v>
      </c>
      <c r="J411" s="10">
        <v>44976083</v>
      </c>
      <c r="L411" s="10">
        <v>50000000</v>
      </c>
      <c r="M411" s="13"/>
      <c r="N411" s="13"/>
      <c r="O411" s="13"/>
      <c r="P411" s="13"/>
    </row>
    <row r="412" spans="1:16" ht="31" x14ac:dyDescent="0.35">
      <c r="A412" s="5">
        <v>411</v>
      </c>
      <c r="B412" s="6" t="s">
        <v>419</v>
      </c>
      <c r="C412" s="7">
        <v>10</v>
      </c>
      <c r="D412" s="7" t="str">
        <f>VLOOKUP(C412,'5-Genre Codes'!$A$1:$B$11,2,FALSE)</f>
        <v>Contemporary Fiction</v>
      </c>
      <c r="E412" s="8">
        <v>2011</v>
      </c>
      <c r="F412" s="6">
        <v>12115</v>
      </c>
      <c r="G412" s="6" t="str">
        <f>VLOOKUP(F412,'4-Actor Codes'!$A$1:$B$622,2,FALSE)</f>
        <v>Denzel Washington</v>
      </c>
      <c r="H412" s="8" t="s">
        <v>10</v>
      </c>
      <c r="I412" s="9">
        <v>126181630</v>
      </c>
      <c r="J412" s="10">
        <v>82360532</v>
      </c>
      <c r="L412" s="10">
        <v>85000000</v>
      </c>
      <c r="M412" s="13"/>
      <c r="N412" s="13"/>
      <c r="O412" s="13"/>
      <c r="P412" s="13"/>
    </row>
    <row r="413" spans="1:16" x14ac:dyDescent="0.35">
      <c r="A413" s="5">
        <v>412</v>
      </c>
      <c r="B413" s="6" t="s">
        <v>420</v>
      </c>
      <c r="C413" s="7">
        <v>30</v>
      </c>
      <c r="D413" s="7" t="str">
        <f>VLOOKUP(C413,'5-Genre Codes'!$A$1:$B$11,2,FALSE)</f>
        <v>Factual</v>
      </c>
      <c r="E413" s="8">
        <v>1985</v>
      </c>
      <c r="F413" s="6">
        <v>10000</v>
      </c>
      <c r="G413" s="6" t="str">
        <f>VLOOKUP(F413,'4-Actor Codes'!$A$1:$B$622,2,FALSE)</f>
        <v>Unidentified</v>
      </c>
      <c r="H413" s="8" t="s">
        <v>10</v>
      </c>
      <c r="I413" s="9">
        <v>125900000</v>
      </c>
      <c r="J413" s="10">
        <v>120498675</v>
      </c>
      <c r="L413" s="10">
        <v>65000000</v>
      </c>
      <c r="M413" s="13"/>
      <c r="N413" s="13"/>
      <c r="O413" s="13"/>
      <c r="P413" s="13"/>
    </row>
    <row r="414" spans="1:16" x14ac:dyDescent="0.35">
      <c r="A414" s="5">
        <v>413</v>
      </c>
      <c r="B414" s="6" t="s">
        <v>421</v>
      </c>
      <c r="C414" s="7">
        <v>20</v>
      </c>
      <c r="D414" s="7" t="str">
        <f>VLOOKUP(C414,'5-Genre Codes'!$A$1:$B$11,2,FALSE)</f>
        <v>Dramatization</v>
      </c>
      <c r="E414" s="8">
        <v>2000</v>
      </c>
      <c r="F414" s="6">
        <v>18415</v>
      </c>
      <c r="G414" s="6" t="str">
        <f>VLOOKUP(F414,'4-Actor Codes'!$A$1:$B$622,2,FALSE)</f>
        <v>T.J. Thyne</v>
      </c>
      <c r="H414" s="8" t="s">
        <v>10</v>
      </c>
      <c r="I414" s="9">
        <v>125548685</v>
      </c>
      <c r="J414" s="10">
        <v>132256558</v>
      </c>
      <c r="L414" s="10">
        <v>50000000</v>
      </c>
      <c r="M414" s="13"/>
      <c r="N414" s="13"/>
      <c r="O414" s="13"/>
      <c r="P414" s="13"/>
    </row>
    <row r="415" spans="1:16" ht="31" x14ac:dyDescent="0.35">
      <c r="A415" s="5">
        <v>414</v>
      </c>
      <c r="B415" s="6" t="s">
        <v>422</v>
      </c>
      <c r="C415" s="7">
        <v>10</v>
      </c>
      <c r="D415" s="7" t="str">
        <f>VLOOKUP(C415,'5-Genre Codes'!$A$1:$B$11,2,FALSE)</f>
        <v>Contemporary Fiction</v>
      </c>
      <c r="E415" s="8">
        <v>2004</v>
      </c>
      <c r="F415" s="6">
        <v>12925</v>
      </c>
      <c r="G415" s="6" t="str">
        <f>VLOOKUP(F415,'4-Actor Codes'!$A$1:$B$622,2,FALSE)</f>
        <v>George Clooney</v>
      </c>
      <c r="H415" s="8" t="s">
        <v>13</v>
      </c>
      <c r="I415" s="9">
        <v>125531634</v>
      </c>
      <c r="J415" s="10">
        <v>237457442</v>
      </c>
      <c r="L415" s="10">
        <v>110000000</v>
      </c>
      <c r="M415" s="13"/>
      <c r="N415" s="13"/>
      <c r="O415" s="13"/>
      <c r="P415" s="13"/>
    </row>
    <row r="416" spans="1:16" ht="31" x14ac:dyDescent="0.35">
      <c r="A416" s="5">
        <v>415</v>
      </c>
      <c r="B416" s="6" t="s">
        <v>423</v>
      </c>
      <c r="C416" s="7">
        <v>10</v>
      </c>
      <c r="D416" s="7" t="str">
        <f>VLOOKUP(C416,'5-Genre Codes'!$A$1:$B$11,2,FALSE)</f>
        <v>Contemporary Fiction</v>
      </c>
      <c r="E416" s="8">
        <v>1998</v>
      </c>
      <c r="F416" s="6">
        <v>14155</v>
      </c>
      <c r="G416" s="6" t="str">
        <f>VLOOKUP(F416,'4-Actor Codes'!$A$1:$B$622,2,FALSE)</f>
        <v>Jim Carrey</v>
      </c>
      <c r="H416" s="8" t="s">
        <v>10</v>
      </c>
      <c r="I416" s="9">
        <v>125466701</v>
      </c>
      <c r="J416" s="10">
        <v>138500000</v>
      </c>
      <c r="L416" s="10">
        <v>60000000</v>
      </c>
      <c r="M416" s="13"/>
      <c r="N416" s="13"/>
      <c r="O416" s="13"/>
      <c r="P416" s="13"/>
    </row>
    <row r="417" spans="1:16" x14ac:dyDescent="0.35">
      <c r="A417" s="5">
        <v>416</v>
      </c>
      <c r="B417" s="6" t="s">
        <v>424</v>
      </c>
      <c r="C417" s="7">
        <v>50</v>
      </c>
      <c r="D417" s="7" t="str">
        <f>VLOOKUP(C417,'5-Genre Codes'!$A$1:$B$11,2,FALSE)</f>
        <v>Historical Fiction</v>
      </c>
      <c r="E417" s="8">
        <v>1994</v>
      </c>
      <c r="F417" s="6">
        <v>11860</v>
      </c>
      <c r="G417" s="6" t="str">
        <f>VLOOKUP(F417,'4-Actor Codes'!$A$1:$B$622,2,FALSE)</f>
        <v>Dann Florek</v>
      </c>
      <c r="H417" s="8" t="s">
        <v>10</v>
      </c>
      <c r="I417" s="9">
        <v>125388575</v>
      </c>
      <c r="J417" s="10">
        <v>227968792</v>
      </c>
      <c r="L417" s="10">
        <v>45000000</v>
      </c>
      <c r="M417" s="13"/>
      <c r="N417" s="13"/>
      <c r="O417" s="13"/>
      <c r="P417" s="13"/>
    </row>
    <row r="418" spans="1:16" ht="31" x14ac:dyDescent="0.35">
      <c r="A418" s="5">
        <v>417</v>
      </c>
      <c r="B418" s="6" t="s">
        <v>425</v>
      </c>
      <c r="C418" s="7">
        <v>80</v>
      </c>
      <c r="D418" s="7" t="str">
        <f>VLOOKUP(C418,'5-Genre Codes'!$A$1:$B$11,2,FALSE)</f>
        <v>Science Fiction</v>
      </c>
      <c r="E418" s="8">
        <v>2009</v>
      </c>
      <c r="F418" s="6">
        <v>11455</v>
      </c>
      <c r="G418" s="6" t="str">
        <f>VLOOKUP(F418,'4-Actor Codes'!$A$1:$B$622,2,FALSE)</f>
        <v>Christian Bale</v>
      </c>
      <c r="H418" s="8" t="s">
        <v>13</v>
      </c>
      <c r="I418" s="9">
        <v>125322469</v>
      </c>
      <c r="J418" s="10">
        <v>240169323</v>
      </c>
      <c r="L418" s="10">
        <v>200000000</v>
      </c>
      <c r="M418" s="13"/>
      <c r="N418" s="13"/>
      <c r="O418" s="13"/>
      <c r="P418" s="13"/>
    </row>
    <row r="419" spans="1:16" ht="31" x14ac:dyDescent="0.35">
      <c r="A419" s="5">
        <v>418</v>
      </c>
      <c r="B419" s="6" t="s">
        <v>426</v>
      </c>
      <c r="C419" s="7">
        <v>10</v>
      </c>
      <c r="D419" s="7" t="str">
        <f>VLOOKUP(C419,'5-Genre Codes'!$A$1:$B$11,2,FALSE)</f>
        <v>Contemporary Fiction</v>
      </c>
      <c r="E419" s="8">
        <v>2000</v>
      </c>
      <c r="F419" s="6">
        <v>16090</v>
      </c>
      <c r="G419" s="6" t="str">
        <f>VLOOKUP(F419,'4-Actor Codes'!$A$1:$B$622,2,FALSE)</f>
        <v>Michael Papajohn</v>
      </c>
      <c r="H419" s="8" t="s">
        <v>10</v>
      </c>
      <c r="I419" s="9">
        <v>125305545</v>
      </c>
      <c r="J419" s="10">
        <v>134430545</v>
      </c>
      <c r="L419" s="10">
        <v>90000000</v>
      </c>
      <c r="M419" s="13"/>
      <c r="N419" s="13"/>
      <c r="O419" s="13"/>
      <c r="P419" s="13"/>
    </row>
    <row r="420" spans="1:16" ht="31" x14ac:dyDescent="0.35">
      <c r="A420" s="5">
        <v>419</v>
      </c>
      <c r="B420" s="6" t="s">
        <v>427</v>
      </c>
      <c r="C420" s="7">
        <v>10</v>
      </c>
      <c r="D420" s="7" t="str">
        <f>VLOOKUP(C420,'5-Genre Codes'!$A$1:$B$11,2,FALSE)</f>
        <v>Contemporary Fiction</v>
      </c>
      <c r="E420" s="8">
        <v>1997</v>
      </c>
      <c r="F420" s="6">
        <v>16975</v>
      </c>
      <c r="G420" s="6" t="str">
        <f>VLOOKUP(F420,'4-Actor Codes'!$A$1:$B$622,2,FALSE)</f>
        <v>Pierce Brosnan</v>
      </c>
      <c r="H420" s="8" t="s">
        <v>13</v>
      </c>
      <c r="I420" s="9">
        <v>125279326</v>
      </c>
      <c r="J420" s="10">
        <v>214200000</v>
      </c>
      <c r="L420" s="10">
        <v>110000000</v>
      </c>
      <c r="M420" s="13"/>
      <c r="N420" s="13"/>
      <c r="O420" s="13"/>
      <c r="P420" s="13"/>
    </row>
    <row r="421" spans="1:16" ht="31" x14ac:dyDescent="0.35">
      <c r="A421" s="5">
        <v>420</v>
      </c>
      <c r="B421" s="6" t="s">
        <v>428</v>
      </c>
      <c r="C421" s="7">
        <v>20</v>
      </c>
      <c r="D421" s="7" t="str">
        <f>VLOOKUP(C421,'5-Genre Codes'!$A$1:$B$11,2,FALSE)</f>
        <v>Dramatization</v>
      </c>
      <c r="E421" s="8">
        <v>2011</v>
      </c>
      <c r="F421" s="6">
        <v>15565</v>
      </c>
      <c r="G421" s="6" t="str">
        <f>VLOOKUP(F421,'4-Actor Codes'!$A$1:$B$622,2,FALSE)</f>
        <v>Mark Wahlberg</v>
      </c>
      <c r="H421" s="8" t="s">
        <v>10</v>
      </c>
      <c r="I421" s="9">
        <v>125095601</v>
      </c>
      <c r="J421" s="10">
        <v>24709031</v>
      </c>
      <c r="L421" s="10">
        <v>40000000</v>
      </c>
      <c r="M421" s="13"/>
      <c r="N421" s="13"/>
      <c r="O421" s="13"/>
      <c r="P421" s="13"/>
    </row>
    <row r="422" spans="1:16" ht="31" x14ac:dyDescent="0.35">
      <c r="A422" s="5">
        <v>421</v>
      </c>
      <c r="B422" s="6" t="s">
        <v>429</v>
      </c>
      <c r="C422" s="7">
        <v>50</v>
      </c>
      <c r="D422" s="7" t="str">
        <f>VLOOKUP(C422,'5-Genre Codes'!$A$1:$B$11,2,FALSE)</f>
        <v>Historical Fiction</v>
      </c>
      <c r="E422" s="8">
        <v>2011</v>
      </c>
      <c r="F422" s="6">
        <v>17005</v>
      </c>
      <c r="G422" s="6" t="str">
        <f>VLOOKUP(F422,'4-Actor Codes'!$A$1:$B$622,2,FALSE)</f>
        <v>Rachel McAdams</v>
      </c>
      <c r="H422" s="8" t="s">
        <v>10</v>
      </c>
      <c r="I422" s="9">
        <v>125014030</v>
      </c>
      <c r="J422" s="10">
        <v>72604130</v>
      </c>
      <c r="L422" s="10">
        <v>30000000</v>
      </c>
      <c r="M422" s="13"/>
      <c r="N422" s="13"/>
      <c r="O422" s="13"/>
      <c r="P422" s="13"/>
    </row>
    <row r="423" spans="1:16" ht="31" x14ac:dyDescent="0.35">
      <c r="A423" s="5">
        <v>422</v>
      </c>
      <c r="B423" s="6" t="s">
        <v>430</v>
      </c>
      <c r="C423" s="7">
        <v>40</v>
      </c>
      <c r="D423" s="7" t="str">
        <f>VLOOKUP(C423,'5-Genre Codes'!$A$1:$B$11,2,FALSE)</f>
        <v>Fantasy</v>
      </c>
      <c r="E423" s="8">
        <v>2011</v>
      </c>
      <c r="F423" s="6">
        <v>18340</v>
      </c>
      <c r="G423" s="6" t="str">
        <f>VLOOKUP(F423,'4-Actor Codes'!$A$1:$B$622,2,FALSE)</f>
        <v>Suraj Sharma</v>
      </c>
      <c r="H423" s="8" t="s">
        <v>10</v>
      </c>
      <c r="I423" s="9">
        <v>124987022</v>
      </c>
      <c r="J423" s="10">
        <v>483000000</v>
      </c>
      <c r="L423" s="10">
        <v>120000000</v>
      </c>
      <c r="M423" s="13"/>
      <c r="N423" s="13"/>
      <c r="O423" s="13"/>
      <c r="P423" s="13"/>
    </row>
    <row r="424" spans="1:16" ht="31" x14ac:dyDescent="0.35">
      <c r="A424" s="5">
        <v>423</v>
      </c>
      <c r="B424" s="6" t="s">
        <v>431</v>
      </c>
      <c r="C424" s="7">
        <v>10</v>
      </c>
      <c r="D424" s="7" t="str">
        <f>VLOOKUP(C424,'5-Genre Codes'!$A$1:$B$11,2,FALSE)</f>
        <v>Contemporary Fiction</v>
      </c>
      <c r="E424" s="8">
        <v>2014</v>
      </c>
      <c r="F424" s="6">
        <v>17935</v>
      </c>
      <c r="G424" s="6" t="str">
        <f>VLOOKUP(F424,'4-Actor Codes'!$A$1:$B$622,2,FALSE)</f>
        <v>Shailene Woodley</v>
      </c>
      <c r="H424" s="8" t="s">
        <v>10</v>
      </c>
      <c r="I424" s="9">
        <v>124872350</v>
      </c>
      <c r="J424" s="10">
        <v>178700000</v>
      </c>
      <c r="L424" s="10">
        <v>12000000</v>
      </c>
      <c r="M424" s="13"/>
      <c r="N424" s="13"/>
      <c r="O424" s="13"/>
      <c r="P424" s="13"/>
    </row>
    <row r="425" spans="1:16" ht="31" x14ac:dyDescent="0.35">
      <c r="A425" s="5">
        <v>424</v>
      </c>
      <c r="B425" s="6" t="s">
        <v>432</v>
      </c>
      <c r="C425" s="7">
        <v>60</v>
      </c>
      <c r="D425" s="7" t="str">
        <f>VLOOKUP(C425,'5-Genre Codes'!$A$1:$B$11,2,FALSE)</f>
        <v>Kids Fiction</v>
      </c>
      <c r="E425" s="8">
        <v>2009</v>
      </c>
      <c r="F425" s="6">
        <v>16420</v>
      </c>
      <c r="G425" s="6" t="str">
        <f>VLOOKUP(F425,'4-Actor Codes'!$A$1:$B$622,2,FALSE)</f>
        <v>Neil Patrick Harris</v>
      </c>
      <c r="H425" s="8" t="s">
        <v>10</v>
      </c>
      <c r="I425" s="9">
        <v>124870275</v>
      </c>
      <c r="J425" s="10">
        <v>111957402</v>
      </c>
      <c r="L425" s="10">
        <v>100000000</v>
      </c>
      <c r="M425" s="13"/>
      <c r="N425" s="13"/>
      <c r="O425" s="13"/>
      <c r="P425" s="13"/>
    </row>
    <row r="426" spans="1:16" ht="31" x14ac:dyDescent="0.35">
      <c r="A426" s="5">
        <v>425</v>
      </c>
      <c r="B426" s="6" t="s">
        <v>433</v>
      </c>
      <c r="C426" s="7">
        <v>10</v>
      </c>
      <c r="D426" s="7" t="str">
        <f>VLOOKUP(C426,'5-Genre Codes'!$A$1:$B$11,2,FALSE)</f>
        <v>Contemporary Fiction</v>
      </c>
      <c r="E426" s="8">
        <v>2006</v>
      </c>
      <c r="F426" s="6">
        <v>12505</v>
      </c>
      <c r="G426" s="6" t="str">
        <f>VLOOKUP(F426,'4-Actor Codes'!$A$1:$B$622,2,FALSE)</f>
        <v>Emily Blunt</v>
      </c>
      <c r="H426" s="8" t="s">
        <v>10</v>
      </c>
      <c r="I426" s="9">
        <v>124740460</v>
      </c>
      <c r="J426" s="10">
        <v>201332695</v>
      </c>
      <c r="L426" s="10">
        <v>35000000</v>
      </c>
      <c r="M426" s="13"/>
      <c r="N426" s="13"/>
      <c r="O426" s="13"/>
      <c r="P426" s="13"/>
    </row>
    <row r="427" spans="1:16" ht="31" x14ac:dyDescent="0.35">
      <c r="A427" s="5">
        <v>426</v>
      </c>
      <c r="B427" s="6" t="s">
        <v>434</v>
      </c>
      <c r="C427" s="7">
        <v>10</v>
      </c>
      <c r="D427" s="7" t="str">
        <f>VLOOKUP(C427,'5-Genre Codes'!$A$1:$B$11,2,FALSE)</f>
        <v>Contemporary Fiction</v>
      </c>
      <c r="E427" s="8">
        <v>2003</v>
      </c>
      <c r="F427" s="6">
        <v>13450</v>
      </c>
      <c r="G427" s="6" t="str">
        <f>VLOOKUP(F427,'4-Actor Codes'!$A$1:$B$622,2,FALSE)</f>
        <v>Jack Nicholson</v>
      </c>
      <c r="H427" s="8" t="s">
        <v>10</v>
      </c>
      <c r="I427" s="9">
        <v>124685242</v>
      </c>
      <c r="J427" s="10">
        <v>142000000</v>
      </c>
      <c r="L427" s="10">
        <v>80000000</v>
      </c>
      <c r="M427" s="13"/>
      <c r="N427" s="13"/>
      <c r="O427" s="13"/>
      <c r="P427" s="13"/>
    </row>
    <row r="428" spans="1:16" x14ac:dyDescent="0.35">
      <c r="A428" s="5">
        <v>427</v>
      </c>
      <c r="B428" s="6" t="s">
        <v>186</v>
      </c>
      <c r="C428" s="7">
        <v>40</v>
      </c>
      <c r="D428" s="7" t="str">
        <f>VLOOKUP(C428,'5-Genre Codes'!$A$1:$B$11,2,FALSE)</f>
        <v>Fantasy</v>
      </c>
      <c r="E428" s="8">
        <v>1990</v>
      </c>
      <c r="F428" s="6">
        <v>12430</v>
      </c>
      <c r="G428" s="6" t="str">
        <f>VLOOKUP(F428,'4-Actor Codes'!$A$1:$B$622,2,FALSE)</f>
        <v>Elias Koteas</v>
      </c>
      <c r="H428" s="8" t="s">
        <v>10</v>
      </c>
      <c r="I428" s="9">
        <v>124635290</v>
      </c>
      <c r="J428" s="10">
        <v>66734085</v>
      </c>
      <c r="L428" s="10">
        <v>13500000</v>
      </c>
      <c r="M428" s="13"/>
      <c r="N428" s="13"/>
      <c r="O428" s="13"/>
      <c r="P428" s="13"/>
    </row>
    <row r="429" spans="1:16" ht="31" x14ac:dyDescent="0.35">
      <c r="A429" s="5">
        <v>428</v>
      </c>
      <c r="B429" s="6" t="s">
        <v>435</v>
      </c>
      <c r="C429" s="7">
        <v>10</v>
      </c>
      <c r="D429" s="7" t="str">
        <f>VLOOKUP(C429,'5-Genre Codes'!$A$1:$B$11,2,FALSE)</f>
        <v>Contemporary Fiction</v>
      </c>
      <c r="E429" s="8">
        <v>1991</v>
      </c>
      <c r="F429" s="6">
        <v>14230</v>
      </c>
      <c r="G429" s="6" t="str">
        <f>VLOOKUP(F429,'4-Actor Codes'!$A$1:$B$622,2,FALSE)</f>
        <v>Jodie Foster</v>
      </c>
      <c r="H429" s="8" t="s">
        <v>10</v>
      </c>
      <c r="I429" s="9">
        <v>124507594</v>
      </c>
      <c r="J429" s="10">
        <v>145000000</v>
      </c>
      <c r="K429" s="11" t="s">
        <v>1010</v>
      </c>
      <c r="L429" s="10">
        <v>20000000</v>
      </c>
      <c r="M429" s="13"/>
      <c r="N429" s="13"/>
      <c r="O429" s="13"/>
      <c r="P429" s="13"/>
    </row>
    <row r="430" spans="1:16" ht="31" x14ac:dyDescent="0.35">
      <c r="A430" s="5">
        <v>429</v>
      </c>
      <c r="B430" s="6" t="s">
        <v>436</v>
      </c>
      <c r="C430" s="7">
        <v>10</v>
      </c>
      <c r="D430" s="7" t="str">
        <f>VLOOKUP(C430,'5-Genre Codes'!$A$1:$B$11,2,FALSE)</f>
        <v>Contemporary Fiction</v>
      </c>
      <c r="E430" s="8">
        <v>2000</v>
      </c>
      <c r="F430" s="6">
        <v>15985</v>
      </c>
      <c r="G430" s="6" t="str">
        <f>VLOOKUP(F430,'4-Actor Codes'!$A$1:$B$622,2,FALSE)</f>
        <v>Michael Douglas</v>
      </c>
      <c r="H430" s="8" t="s">
        <v>10</v>
      </c>
      <c r="I430" s="9">
        <v>124107476</v>
      </c>
      <c r="J430" s="10">
        <v>84192524</v>
      </c>
      <c r="L430" s="10">
        <v>48000000</v>
      </c>
      <c r="M430" s="13"/>
      <c r="N430" s="13"/>
      <c r="O430" s="13"/>
      <c r="P430" s="13"/>
    </row>
    <row r="431" spans="1:16" ht="31" x14ac:dyDescent="0.35">
      <c r="A431" s="5">
        <v>430</v>
      </c>
      <c r="B431" s="6" t="s">
        <v>437</v>
      </c>
      <c r="C431" s="7">
        <v>10</v>
      </c>
      <c r="D431" s="7" t="str">
        <f>VLOOKUP(C431,'5-Genre Codes'!$A$1:$B$11,2,FALSE)</f>
        <v>Contemporary Fiction</v>
      </c>
      <c r="E431" s="8">
        <v>1985</v>
      </c>
      <c r="F431" s="6">
        <v>18385</v>
      </c>
      <c r="G431" s="6" t="str">
        <f>VLOOKUP(F431,'4-Actor Codes'!$A$1:$B$622,2,FALSE)</f>
        <v>Sylvester Stallone</v>
      </c>
      <c r="H431" s="8" t="s">
        <v>13</v>
      </c>
      <c r="I431" s="9">
        <v>123947780</v>
      </c>
      <c r="J431" s="10">
        <v>172500000</v>
      </c>
      <c r="L431" s="10">
        <v>0</v>
      </c>
      <c r="M431" s="13"/>
      <c r="N431" s="13"/>
      <c r="O431" s="13"/>
      <c r="P431" s="13"/>
    </row>
    <row r="432" spans="1:16" ht="31" x14ac:dyDescent="0.35">
      <c r="A432" s="5">
        <v>431</v>
      </c>
      <c r="B432" s="6" t="s">
        <v>438</v>
      </c>
      <c r="C432" s="7">
        <v>10</v>
      </c>
      <c r="D432" s="7" t="str">
        <f>VLOOKUP(C432,'5-Genre Codes'!$A$1:$B$11,2,FALSE)</f>
        <v>Contemporary Fiction</v>
      </c>
      <c r="E432" s="8">
        <v>1996</v>
      </c>
      <c r="F432" s="6">
        <v>13900</v>
      </c>
      <c r="G432" s="6" t="str">
        <f>VLOOKUP(F432,'4-Actor Codes'!$A$1:$B$622,2,FALSE)</f>
        <v>Jay Leno</v>
      </c>
      <c r="H432" s="8" t="s">
        <v>10</v>
      </c>
      <c r="I432" s="9">
        <v>123939840</v>
      </c>
      <c r="J432" s="10">
        <v>57700000</v>
      </c>
      <c r="L432" s="10">
        <v>0</v>
      </c>
      <c r="M432" s="13"/>
      <c r="N432" s="13"/>
      <c r="O432" s="13"/>
      <c r="P432" s="13"/>
    </row>
    <row r="433" spans="1:16" ht="31" x14ac:dyDescent="0.35">
      <c r="A433" s="5">
        <v>432</v>
      </c>
      <c r="B433" s="6" t="s">
        <v>439</v>
      </c>
      <c r="C433" s="7">
        <v>10</v>
      </c>
      <c r="D433" s="7" t="str">
        <f>VLOOKUP(C433,'5-Genre Codes'!$A$1:$B$11,2,FALSE)</f>
        <v>Contemporary Fiction</v>
      </c>
      <c r="E433" s="8">
        <v>2000</v>
      </c>
      <c r="F433" s="6">
        <v>12400</v>
      </c>
      <c r="G433" s="6" t="str">
        <f>VLOOKUP(F433,'4-Actor Codes'!$A$1:$B$622,2,FALSE)</f>
        <v>Eddie Murphy</v>
      </c>
      <c r="H433" s="8" t="s">
        <v>13</v>
      </c>
      <c r="I433" s="9">
        <v>123307945</v>
      </c>
      <c r="J433" s="10">
        <v>43000000</v>
      </c>
      <c r="L433" s="10">
        <v>84000000</v>
      </c>
      <c r="M433" s="13"/>
      <c r="N433" s="13"/>
      <c r="O433" s="13"/>
      <c r="P433" s="13"/>
    </row>
    <row r="434" spans="1:16" ht="31" x14ac:dyDescent="0.35">
      <c r="A434" s="5">
        <v>433</v>
      </c>
      <c r="B434" s="6" t="s">
        <v>440</v>
      </c>
      <c r="C434" s="7">
        <v>60</v>
      </c>
      <c r="D434" s="7" t="str">
        <f>VLOOKUP(C434,'5-Genre Codes'!$A$1:$B$11,2,FALSE)</f>
        <v>Kids Fiction</v>
      </c>
      <c r="E434" s="8">
        <v>2011</v>
      </c>
      <c r="F434" s="6">
        <v>14350</v>
      </c>
      <c r="G434" s="6" t="str">
        <f>VLOOKUP(F434,'4-Actor Codes'!$A$1:$B$622,2,FALSE)</f>
        <v>Johnny Depp</v>
      </c>
      <c r="H434" s="8" t="s">
        <v>10</v>
      </c>
      <c r="I434" s="9">
        <v>123257581</v>
      </c>
      <c r="J434" s="10">
        <v>122246993</v>
      </c>
      <c r="L434" s="10">
        <v>135000000</v>
      </c>
      <c r="M434" s="13"/>
      <c r="N434" s="13"/>
      <c r="O434" s="13"/>
      <c r="P434" s="13"/>
    </row>
    <row r="435" spans="1:16" ht="31" x14ac:dyDescent="0.35">
      <c r="A435" s="5">
        <v>434</v>
      </c>
      <c r="B435" s="6" t="s">
        <v>441</v>
      </c>
      <c r="C435" s="7">
        <v>10</v>
      </c>
      <c r="D435" s="7" t="str">
        <f>VLOOKUP(C435,'5-Genre Codes'!$A$1:$B$11,2,FALSE)</f>
        <v>Contemporary Fiction</v>
      </c>
      <c r="E435" s="8">
        <v>2012</v>
      </c>
      <c r="F435" s="6">
        <v>17095</v>
      </c>
      <c r="G435" s="6" t="str">
        <f>VLOOKUP(F435,'4-Actor Codes'!$A$1:$B$622,2,FALSE)</f>
        <v>Ray Stevenson</v>
      </c>
      <c r="H435" s="8" t="s">
        <v>13</v>
      </c>
      <c r="I435" s="9">
        <v>122523060</v>
      </c>
      <c r="J435" s="10">
        <v>249400000</v>
      </c>
      <c r="L435" s="10">
        <v>140000000</v>
      </c>
      <c r="M435" s="13"/>
      <c r="N435" s="13"/>
      <c r="O435" s="13"/>
      <c r="P435" s="13"/>
    </row>
    <row r="436" spans="1:16" ht="31" x14ac:dyDescent="0.35">
      <c r="A436" s="5">
        <v>435</v>
      </c>
      <c r="B436" s="6" t="s">
        <v>442</v>
      </c>
      <c r="C436" s="7">
        <v>10</v>
      </c>
      <c r="D436" s="7" t="str">
        <f>VLOOKUP(C436,'5-Genre Codes'!$A$1:$B$11,2,FALSE)</f>
        <v>Contemporary Fiction</v>
      </c>
      <c r="E436" s="8">
        <v>1994</v>
      </c>
      <c r="F436" s="6">
        <v>13225</v>
      </c>
      <c r="G436" s="6" t="str">
        <f>VLOOKUP(F436,'4-Actor Codes'!$A$1:$B$622,2,FALSE)</f>
        <v>Henry Czerny</v>
      </c>
      <c r="H436" s="8" t="s">
        <v>10</v>
      </c>
      <c r="I436" s="9">
        <v>121832939</v>
      </c>
      <c r="J436" s="10">
        <v>85487344</v>
      </c>
      <c r="L436" s="10">
        <v>62000000</v>
      </c>
      <c r="M436" s="13"/>
      <c r="N436" s="13"/>
      <c r="O436" s="13"/>
      <c r="P436" s="13"/>
    </row>
    <row r="437" spans="1:16" ht="31" x14ac:dyDescent="0.35">
      <c r="A437" s="5">
        <v>436</v>
      </c>
      <c r="B437" s="6" t="s">
        <v>443</v>
      </c>
      <c r="C437" s="7">
        <v>50</v>
      </c>
      <c r="D437" s="7" t="str">
        <f>VLOOKUP(C437,'5-Genre Codes'!$A$1:$B$11,2,FALSE)</f>
        <v>Historical Fiction</v>
      </c>
      <c r="E437" s="8">
        <v>1987</v>
      </c>
      <c r="F437" s="6">
        <v>17425</v>
      </c>
      <c r="G437" s="6" t="str">
        <f>VLOOKUP(F437,'4-Actor Codes'!$A$1:$B$622,2,FALSE)</f>
        <v>Robin Williams</v>
      </c>
      <c r="H437" s="8" t="s">
        <v>10</v>
      </c>
      <c r="I437" s="9">
        <v>121650966</v>
      </c>
      <c r="J437" s="10">
        <v>191844722</v>
      </c>
      <c r="L437" s="10">
        <v>3900000</v>
      </c>
      <c r="M437" s="13"/>
      <c r="N437" s="13"/>
      <c r="O437" s="13"/>
      <c r="P437" s="13"/>
    </row>
    <row r="438" spans="1:16" ht="31" x14ac:dyDescent="0.35">
      <c r="A438" s="5">
        <v>437</v>
      </c>
      <c r="B438" s="6" t="s">
        <v>444</v>
      </c>
      <c r="C438" s="7">
        <v>10</v>
      </c>
      <c r="D438" s="7" t="str">
        <f>VLOOKUP(C438,'5-Genre Codes'!$A$1:$B$11,2,FALSE)</f>
        <v>Contemporary Fiction</v>
      </c>
      <c r="E438" s="8">
        <v>2002</v>
      </c>
      <c r="F438" s="6">
        <v>12850</v>
      </c>
      <c r="G438" s="6" t="str">
        <f>VLOOKUP(F438,'4-Actor Codes'!$A$1:$B$622,2,FALSE)</f>
        <v>Gabriel Mann</v>
      </c>
      <c r="H438" s="8" t="s">
        <v>10</v>
      </c>
      <c r="I438" s="9">
        <v>121468960</v>
      </c>
      <c r="J438" s="10">
        <v>92888411</v>
      </c>
      <c r="L438" s="10">
        <v>60000000</v>
      </c>
      <c r="M438" s="13"/>
      <c r="N438" s="13"/>
      <c r="O438" s="13"/>
      <c r="P438" s="13"/>
    </row>
    <row r="439" spans="1:16" ht="31" x14ac:dyDescent="0.35">
      <c r="A439" s="5">
        <v>438</v>
      </c>
      <c r="B439" s="6" t="s">
        <v>445</v>
      </c>
      <c r="C439" s="7">
        <v>10</v>
      </c>
      <c r="D439" s="7" t="str">
        <f>VLOOKUP(C439,'5-Genre Codes'!$A$1:$B$11,2,FALSE)</f>
        <v>Contemporary Fiction</v>
      </c>
      <c r="E439" s="8">
        <v>2007</v>
      </c>
      <c r="F439" s="6">
        <v>14395</v>
      </c>
      <c r="G439" s="6" t="str">
        <f>VLOOKUP(F439,'4-Actor Codes'!$A$1:$B$622,2,FALSE)</f>
        <v>Jonah Hill</v>
      </c>
      <c r="H439" s="8" t="s">
        <v>10</v>
      </c>
      <c r="I439" s="9">
        <v>121463226</v>
      </c>
      <c r="J439" s="10">
        <v>48491916</v>
      </c>
      <c r="L439" s="10">
        <v>17500000</v>
      </c>
      <c r="M439" s="13"/>
      <c r="N439" s="13"/>
      <c r="O439" s="13"/>
      <c r="P439" s="13"/>
    </row>
    <row r="440" spans="1:16" ht="31" x14ac:dyDescent="0.35">
      <c r="A440" s="5">
        <v>439</v>
      </c>
      <c r="B440" s="6" t="s">
        <v>446</v>
      </c>
      <c r="C440" s="7">
        <v>10</v>
      </c>
      <c r="D440" s="7" t="str">
        <f>VLOOKUP(C440,'5-Genre Codes'!$A$1:$B$11,2,FALSE)</f>
        <v>Contemporary Fiction</v>
      </c>
      <c r="E440" s="8">
        <v>1988</v>
      </c>
      <c r="F440" s="6">
        <v>18175</v>
      </c>
      <c r="G440" s="6" t="str">
        <f>VLOOKUP(F440,'4-Actor Codes'!$A$1:$B$622,2,FALSE)</f>
        <v>Stephanie Simon</v>
      </c>
      <c r="H440" s="8" t="s">
        <v>10</v>
      </c>
      <c r="I440" s="9">
        <v>120794325</v>
      </c>
      <c r="J440" s="10">
        <v>160647699</v>
      </c>
      <c r="L440" s="10">
        <v>0</v>
      </c>
      <c r="M440" s="13"/>
      <c r="N440" s="13"/>
      <c r="O440" s="13"/>
      <c r="P440" s="13"/>
    </row>
    <row r="441" spans="1:16" ht="31" x14ac:dyDescent="0.35">
      <c r="A441" s="5">
        <v>440</v>
      </c>
      <c r="B441" s="6" t="s">
        <v>447</v>
      </c>
      <c r="C441" s="7">
        <v>10</v>
      </c>
      <c r="D441" s="7" t="str">
        <f>VLOOKUP(C441,'5-Genre Codes'!$A$1:$B$11,2,FALSE)</f>
        <v>Contemporary Fiction</v>
      </c>
      <c r="E441" s="8">
        <v>2004</v>
      </c>
      <c r="F441" s="6">
        <v>15835</v>
      </c>
      <c r="G441" s="6" t="str">
        <f>VLOOKUP(F441,'4-Actor Codes'!$A$1:$B$622,2,FALSE)</f>
        <v>Maya Rudolph</v>
      </c>
      <c r="H441" s="8" t="s">
        <v>10</v>
      </c>
      <c r="I441" s="9">
        <v>120776832</v>
      </c>
      <c r="J441" s="10">
        <v>75547664</v>
      </c>
      <c r="L441" s="10">
        <v>75000000</v>
      </c>
      <c r="M441" s="13"/>
      <c r="N441" s="13"/>
      <c r="O441" s="13"/>
      <c r="P441" s="13"/>
    </row>
    <row r="442" spans="1:16" x14ac:dyDescent="0.35">
      <c r="A442" s="5">
        <v>441</v>
      </c>
      <c r="B442" s="6" t="s">
        <v>448</v>
      </c>
      <c r="C442" s="7">
        <v>50</v>
      </c>
      <c r="D442" s="7" t="str">
        <f>VLOOKUP(C442,'5-Genre Codes'!$A$1:$B$11,2,FALSE)</f>
        <v>Historical Fiction</v>
      </c>
      <c r="E442" s="8">
        <v>2009</v>
      </c>
      <c r="F442" s="6">
        <v>10930</v>
      </c>
      <c r="G442" s="6" t="str">
        <f>VLOOKUP(F442,'4-Actor Codes'!$A$1:$B$622,2,FALSE)</f>
        <v>Brad Pitt</v>
      </c>
      <c r="H442" s="8" t="s">
        <v>10</v>
      </c>
      <c r="I442" s="9">
        <v>120774594</v>
      </c>
      <c r="J442" s="10">
        <v>196140670</v>
      </c>
      <c r="L442" s="10">
        <v>70000000</v>
      </c>
      <c r="M442" s="13"/>
      <c r="N442" s="13"/>
      <c r="O442" s="13"/>
      <c r="P442" s="13"/>
    </row>
    <row r="443" spans="1:16" x14ac:dyDescent="0.35">
      <c r="A443" s="5">
        <v>442</v>
      </c>
      <c r="B443" s="6" t="s">
        <v>449</v>
      </c>
      <c r="C443" s="7">
        <v>20</v>
      </c>
      <c r="D443" s="7" t="str">
        <f>VLOOKUP(C443,'5-Genre Codes'!$A$1:$B$11,2,FALSE)</f>
        <v>Dramatization</v>
      </c>
      <c r="E443" s="8">
        <v>1998</v>
      </c>
      <c r="F443" s="6">
        <v>16240</v>
      </c>
      <c r="G443" s="6" t="str">
        <f>VLOOKUP(F443,'4-Actor Codes'!$A$1:$B$622,2,FALSE)</f>
        <v>Ming-Na</v>
      </c>
      <c r="H443" s="8" t="s">
        <v>10</v>
      </c>
      <c r="I443" s="9">
        <v>120618403</v>
      </c>
      <c r="J443" s="10">
        <v>182879746</v>
      </c>
      <c r="L443" s="10">
        <v>90000000</v>
      </c>
      <c r="M443" s="13"/>
      <c r="N443" s="13"/>
      <c r="O443" s="13"/>
      <c r="P443" s="13"/>
    </row>
    <row r="444" spans="1:16" ht="31" x14ac:dyDescent="0.35">
      <c r="A444" s="5">
        <v>443</v>
      </c>
      <c r="B444" s="6" t="s">
        <v>450</v>
      </c>
      <c r="C444" s="7">
        <v>10</v>
      </c>
      <c r="D444" s="7" t="str">
        <f>VLOOKUP(C444,'5-Genre Codes'!$A$1:$B$11,2,FALSE)</f>
        <v>Contemporary Fiction</v>
      </c>
      <c r="E444" s="8">
        <v>1994</v>
      </c>
      <c r="F444" s="6">
        <v>14755</v>
      </c>
      <c r="G444" s="6" t="str">
        <f>VLOOKUP(F444,'4-Actor Codes'!$A$1:$B$622,2,FALSE)</f>
        <v>Keanu Reeves</v>
      </c>
      <c r="H444" s="8" t="s">
        <v>10</v>
      </c>
      <c r="I444" s="9">
        <v>120360822</v>
      </c>
      <c r="J444" s="10">
        <v>161951855</v>
      </c>
      <c r="L444" s="10">
        <v>30000000</v>
      </c>
      <c r="M444" s="13"/>
      <c r="N444" s="13"/>
      <c r="O444" s="13"/>
      <c r="P444" s="13"/>
    </row>
    <row r="445" spans="1:16" ht="31" x14ac:dyDescent="0.35">
      <c r="A445" s="5">
        <v>444</v>
      </c>
      <c r="B445" s="6" t="s">
        <v>451</v>
      </c>
      <c r="C445" s="7">
        <v>50</v>
      </c>
      <c r="D445" s="7" t="str">
        <f>VLOOKUP(C445,'5-Genre Codes'!$A$1:$B$11,2,FALSE)</f>
        <v>Historical Fiction</v>
      </c>
      <c r="E445" s="8">
        <v>2003</v>
      </c>
      <c r="F445" s="6">
        <v>18685</v>
      </c>
      <c r="G445" s="6" t="str">
        <f>VLOOKUP(F445,'4-Actor Codes'!$A$1:$B$622,2,FALSE)</f>
        <v>Tobey Maguire</v>
      </c>
      <c r="H445" s="8" t="s">
        <v>10</v>
      </c>
      <c r="I445" s="9">
        <v>120197488</v>
      </c>
      <c r="J445" s="10">
        <v>28437488</v>
      </c>
      <c r="L445" s="10">
        <v>86000000</v>
      </c>
      <c r="M445" s="13"/>
      <c r="N445" s="13"/>
      <c r="O445" s="13"/>
      <c r="P445" s="13"/>
    </row>
    <row r="446" spans="1:16" ht="31" x14ac:dyDescent="0.35">
      <c r="A446" s="5">
        <v>445</v>
      </c>
      <c r="B446" s="6" t="s">
        <v>452</v>
      </c>
      <c r="C446" s="7">
        <v>50</v>
      </c>
      <c r="D446" s="7" t="str">
        <f>VLOOKUP(C446,'5-Genre Codes'!$A$1:$B$11,2,FALSE)</f>
        <v>Historical Fiction</v>
      </c>
      <c r="E446" s="8">
        <v>2004</v>
      </c>
      <c r="F446" s="6">
        <v>13270</v>
      </c>
      <c r="G446" s="6" t="str">
        <f>VLOOKUP(F446,'4-Actor Codes'!$A$1:$B$622,2,FALSE)</f>
        <v>Hugh Jackman</v>
      </c>
      <c r="H446" s="8" t="s">
        <v>10</v>
      </c>
      <c r="I446" s="9">
        <v>120150546</v>
      </c>
      <c r="J446" s="10">
        <v>180000000</v>
      </c>
      <c r="L446" s="10">
        <v>170000000</v>
      </c>
      <c r="M446" s="13"/>
      <c r="N446" s="13"/>
      <c r="O446" s="13"/>
      <c r="P446" s="13"/>
    </row>
    <row r="447" spans="1:16" ht="31" x14ac:dyDescent="0.35">
      <c r="A447" s="5">
        <v>446</v>
      </c>
      <c r="B447" s="6" t="s">
        <v>453</v>
      </c>
      <c r="C447" s="7">
        <v>10</v>
      </c>
      <c r="D447" s="7" t="str">
        <f>VLOOKUP(C447,'5-Genre Codes'!$A$1:$B$11,2,FALSE)</f>
        <v>Contemporary Fiction</v>
      </c>
      <c r="E447" s="8">
        <v>2008</v>
      </c>
      <c r="F447" s="6">
        <v>14380</v>
      </c>
      <c r="G447" s="6" t="str">
        <f>VLOOKUP(F447,'4-Actor Codes'!$A$1:$B$622,2,FALSE)</f>
        <v>Jon Voight</v>
      </c>
      <c r="H447" s="8" t="s">
        <v>10</v>
      </c>
      <c r="I447" s="9">
        <v>120146040</v>
      </c>
      <c r="J447" s="10">
        <v>48165518</v>
      </c>
      <c r="L447" s="10">
        <v>80000000</v>
      </c>
      <c r="M447" s="13"/>
      <c r="N447" s="13"/>
      <c r="O447" s="13"/>
      <c r="P447" s="13"/>
    </row>
    <row r="448" spans="1:16" x14ac:dyDescent="0.35">
      <c r="A448" s="5">
        <v>447</v>
      </c>
      <c r="B448" s="6" t="s">
        <v>454</v>
      </c>
      <c r="C448" s="7">
        <v>40</v>
      </c>
      <c r="D448" s="7" t="str">
        <f>VLOOKUP(C448,'5-Genre Codes'!$A$1:$B$11,2,FALSE)</f>
        <v>Fantasy</v>
      </c>
      <c r="E448" s="8">
        <v>1994</v>
      </c>
      <c r="F448" s="6">
        <v>14155</v>
      </c>
      <c r="G448" s="6" t="str">
        <f>VLOOKUP(F448,'4-Actor Codes'!$A$1:$B$622,2,FALSE)</f>
        <v>Jim Carrey</v>
      </c>
      <c r="H448" s="8" t="s">
        <v>10</v>
      </c>
      <c r="I448" s="9">
        <v>119874149</v>
      </c>
      <c r="J448" s="10">
        <v>231700000</v>
      </c>
      <c r="L448" s="10">
        <v>18000000</v>
      </c>
      <c r="M448" s="13"/>
      <c r="N448" s="13"/>
      <c r="O448" s="13"/>
      <c r="P448" s="13"/>
    </row>
    <row r="449" spans="1:16" x14ac:dyDescent="0.35">
      <c r="A449" s="5">
        <v>448</v>
      </c>
      <c r="B449" s="6" t="s">
        <v>455</v>
      </c>
      <c r="C449" s="7">
        <v>60</v>
      </c>
      <c r="D449" s="7" t="str">
        <f>VLOOKUP(C449,'5-Genre Codes'!$A$1:$B$11,2,FALSE)</f>
        <v>Kids Fiction</v>
      </c>
      <c r="E449" s="8">
        <v>2013</v>
      </c>
      <c r="F449" s="6">
        <v>10795</v>
      </c>
      <c r="G449" s="6" t="str">
        <f>VLOOKUP(F449,'4-Actor Codes'!$A$1:$B$622,2,FALSE)</f>
        <v>Bill Hader</v>
      </c>
      <c r="H449" s="8" t="s">
        <v>13</v>
      </c>
      <c r="I449" s="9">
        <v>119793567</v>
      </c>
      <c r="J449" s="10">
        <v>154599082</v>
      </c>
      <c r="L449" s="10">
        <v>78000000</v>
      </c>
      <c r="M449" s="13"/>
      <c r="N449" s="13"/>
      <c r="O449" s="13"/>
      <c r="P449" s="13"/>
    </row>
    <row r="450" spans="1:16" ht="31" x14ac:dyDescent="0.35">
      <c r="A450" s="5">
        <v>449</v>
      </c>
      <c r="B450" s="6" t="s">
        <v>456</v>
      </c>
      <c r="C450" s="7">
        <v>10</v>
      </c>
      <c r="D450" s="7" t="str">
        <f>VLOOKUP(C450,'5-Genre Codes'!$A$1:$B$11,2,FALSE)</f>
        <v>Contemporary Fiction</v>
      </c>
      <c r="E450" s="8">
        <v>2007</v>
      </c>
      <c r="F450" s="6">
        <v>17245</v>
      </c>
      <c r="G450" s="6" t="str">
        <f>VLOOKUP(F450,'4-Actor Codes'!$A$1:$B$622,2,FALSE)</f>
        <v>Rob Schneider</v>
      </c>
      <c r="H450" s="8" t="s">
        <v>10</v>
      </c>
      <c r="I450" s="9">
        <v>119725280</v>
      </c>
      <c r="J450" s="10">
        <v>65983182</v>
      </c>
      <c r="L450" s="10">
        <v>85000000</v>
      </c>
      <c r="M450" s="13"/>
      <c r="N450" s="13"/>
      <c r="O450" s="13"/>
      <c r="P450" s="13"/>
    </row>
    <row r="451" spans="1:16" ht="46.5" x14ac:dyDescent="0.35">
      <c r="A451" s="5">
        <v>450</v>
      </c>
      <c r="B451" s="6" t="s">
        <v>457</v>
      </c>
      <c r="C451" s="7">
        <v>20</v>
      </c>
      <c r="D451" s="7" t="str">
        <f>VLOOKUP(C451,'5-Genre Codes'!$A$1:$B$11,2,FALSE)</f>
        <v>Dramatization</v>
      </c>
      <c r="E451" s="8">
        <v>2005</v>
      </c>
      <c r="F451" s="6">
        <v>17110</v>
      </c>
      <c r="G451" s="6" t="str">
        <f>VLOOKUP(F451,'4-Actor Codes'!$A$1:$B$622,2,FALSE)</f>
        <v>Reese Witherspoon</v>
      </c>
      <c r="H451" s="8" t="s">
        <v>10</v>
      </c>
      <c r="I451" s="9">
        <v>119519402</v>
      </c>
      <c r="J451" s="10">
        <v>68188093</v>
      </c>
      <c r="L451" s="10">
        <v>29000000</v>
      </c>
      <c r="M451" s="13"/>
      <c r="N451" s="13"/>
      <c r="O451" s="13"/>
      <c r="P451" s="13"/>
    </row>
    <row r="452" spans="1:16" ht="31" x14ac:dyDescent="0.35">
      <c r="A452" s="5">
        <v>451</v>
      </c>
      <c r="B452" s="6" t="s">
        <v>458</v>
      </c>
      <c r="C452" s="7">
        <v>50</v>
      </c>
      <c r="D452" s="7" t="str">
        <f>VLOOKUP(C452,'5-Genre Codes'!$A$1:$B$11,2,FALSE)</f>
        <v>Historical Fiction</v>
      </c>
      <c r="E452" s="8">
        <v>1974</v>
      </c>
      <c r="F452" s="6">
        <v>13165</v>
      </c>
      <c r="G452" s="6" t="str">
        <f>VLOOKUP(F452,'4-Actor Codes'!$A$1:$B$622,2,FALSE)</f>
        <v>Harvey Korman</v>
      </c>
      <c r="H452" s="8" t="s">
        <v>10</v>
      </c>
      <c r="I452" s="9">
        <v>119500000</v>
      </c>
      <c r="J452" s="10">
        <v>27000000</v>
      </c>
      <c r="L452" s="10">
        <v>61000000</v>
      </c>
      <c r="M452" s="13"/>
      <c r="N452" s="13"/>
      <c r="O452" s="13"/>
      <c r="P452" s="13"/>
    </row>
    <row r="453" spans="1:16" ht="31" x14ac:dyDescent="0.35">
      <c r="A453" s="5">
        <v>452</v>
      </c>
      <c r="B453" s="6" t="s">
        <v>459</v>
      </c>
      <c r="C453" s="7">
        <v>60</v>
      </c>
      <c r="D453" s="7" t="str">
        <f>VLOOKUP(C453,'5-Genre Codes'!$A$1:$B$11,2,FALSE)</f>
        <v>Kids Fiction</v>
      </c>
      <c r="E453" s="8">
        <v>2009</v>
      </c>
      <c r="F453" s="6">
        <v>19270</v>
      </c>
      <c r="G453" s="6" t="str">
        <f>VLOOKUP(F453,'4-Actor Codes'!$A$1:$B$622,2,FALSE)</f>
        <v>Zach Galifianakis</v>
      </c>
      <c r="H453" s="8" t="s">
        <v>10</v>
      </c>
      <c r="I453" s="9">
        <v>119436770</v>
      </c>
      <c r="J453" s="10">
        <v>126000000</v>
      </c>
      <c r="L453" s="10">
        <v>80000000</v>
      </c>
      <c r="M453" s="13"/>
      <c r="N453" s="13"/>
      <c r="O453" s="13"/>
      <c r="P453" s="13"/>
    </row>
    <row r="454" spans="1:16" ht="31" x14ac:dyDescent="0.35">
      <c r="A454" s="5">
        <v>453</v>
      </c>
      <c r="B454" s="6" t="s">
        <v>460</v>
      </c>
      <c r="C454" s="7">
        <v>10</v>
      </c>
      <c r="D454" s="7" t="str">
        <f>VLOOKUP(C454,'5-Genre Codes'!$A$1:$B$11,2,FALSE)</f>
        <v>Contemporary Fiction</v>
      </c>
      <c r="E454" s="8">
        <v>1992</v>
      </c>
      <c r="F454" s="6">
        <v>16180</v>
      </c>
      <c r="G454" s="6" t="str">
        <f>VLOOKUP(F454,'4-Actor Codes'!$A$1:$B$622,2,FALSE)</f>
        <v>Mike Myers</v>
      </c>
      <c r="H454" s="8" t="s">
        <v>10</v>
      </c>
      <c r="I454" s="9">
        <v>119352584</v>
      </c>
      <c r="J454" s="10">
        <v>61400000</v>
      </c>
      <c r="L454" s="10">
        <v>20000000</v>
      </c>
      <c r="M454" s="13"/>
      <c r="N454" s="13"/>
      <c r="O454" s="13"/>
      <c r="P454" s="13"/>
    </row>
    <row r="455" spans="1:16" ht="31" x14ac:dyDescent="0.35">
      <c r="A455" s="5">
        <v>454</v>
      </c>
      <c r="B455" s="6" t="s">
        <v>461</v>
      </c>
      <c r="C455" s="7">
        <v>10</v>
      </c>
      <c r="D455" s="7" t="str">
        <f>VLOOKUP(C455,'5-Genre Codes'!$A$1:$B$11,2,FALSE)</f>
        <v>Contemporary Fiction</v>
      </c>
      <c r="E455" s="8">
        <v>1982</v>
      </c>
      <c r="F455" s="6">
        <v>18385</v>
      </c>
      <c r="G455" s="6" t="str">
        <f>VLOOKUP(F455,'4-Actor Codes'!$A$1:$B$622,2,FALSE)</f>
        <v>Sylvester Stallone</v>
      </c>
      <c r="H455" s="8" t="s">
        <v>13</v>
      </c>
      <c r="I455" s="9">
        <v>119350720</v>
      </c>
      <c r="J455" s="10">
        <v>85959151</v>
      </c>
      <c r="L455" s="10">
        <v>24000000</v>
      </c>
      <c r="M455" s="13"/>
      <c r="N455" s="13"/>
      <c r="O455" s="13"/>
      <c r="P455" s="13"/>
    </row>
    <row r="456" spans="1:16" ht="31" x14ac:dyDescent="0.35">
      <c r="A456" s="5">
        <v>455</v>
      </c>
      <c r="B456" s="6" t="s">
        <v>462</v>
      </c>
      <c r="C456" s="7">
        <v>10</v>
      </c>
      <c r="D456" s="7" t="str">
        <f>VLOOKUP(C456,'5-Genre Codes'!$A$1:$B$11,2,FALSE)</f>
        <v>Contemporary Fiction</v>
      </c>
      <c r="E456" s="8">
        <v>2010</v>
      </c>
      <c r="F456" s="6">
        <v>12355</v>
      </c>
      <c r="G456" s="6" t="str">
        <f>VLOOKUP(F456,'4-Actor Codes'!$A$1:$B$622,2,FALSE)</f>
        <v>Dwayne Johnson</v>
      </c>
      <c r="H456" s="8" t="s">
        <v>10</v>
      </c>
      <c r="I456" s="9">
        <v>119219978</v>
      </c>
      <c r="J456" s="10">
        <v>51716492</v>
      </c>
      <c r="L456" s="10">
        <v>100000000</v>
      </c>
      <c r="M456" s="13"/>
      <c r="N456" s="13"/>
      <c r="O456" s="13"/>
      <c r="P456" s="13"/>
    </row>
    <row r="457" spans="1:16" x14ac:dyDescent="0.35">
      <c r="A457" s="5">
        <v>456</v>
      </c>
      <c r="B457" s="6" t="s">
        <v>463</v>
      </c>
      <c r="C457" s="7">
        <v>30</v>
      </c>
      <c r="D457" s="7" t="str">
        <f>VLOOKUP(C457,'5-Genre Codes'!$A$1:$B$11,2,FALSE)</f>
        <v>Factual</v>
      </c>
      <c r="E457" s="8">
        <v>2004</v>
      </c>
      <c r="F457" s="6">
        <v>10000</v>
      </c>
      <c r="G457" s="6" t="str">
        <f>VLOOKUP(F457,'4-Actor Codes'!$A$1:$B$622,2,FALSE)</f>
        <v>Unidentified</v>
      </c>
      <c r="H457" s="8" t="s">
        <v>10</v>
      </c>
      <c r="I457" s="9">
        <v>119114517</v>
      </c>
      <c r="J457" s="10">
        <v>102034442</v>
      </c>
      <c r="L457" s="10">
        <v>6000000</v>
      </c>
      <c r="M457" s="13"/>
      <c r="N457" s="13"/>
      <c r="O457" s="13"/>
      <c r="P457" s="13"/>
    </row>
    <row r="458" spans="1:16" x14ac:dyDescent="0.35">
      <c r="A458" s="5">
        <v>457</v>
      </c>
      <c r="B458" s="6" t="s">
        <v>464</v>
      </c>
      <c r="C458" s="7">
        <v>50</v>
      </c>
      <c r="D458" s="7" t="str">
        <f>VLOOKUP(C458,'5-Genre Codes'!$A$1:$B$11,2,FALSE)</f>
        <v>Historical Fiction</v>
      </c>
      <c r="E458" s="8">
        <v>2007</v>
      </c>
      <c r="F458" s="6">
        <v>17185</v>
      </c>
      <c r="G458" s="6" t="str">
        <f>VLOOKUP(F458,'4-Actor Codes'!$A$1:$B$622,2,FALSE)</f>
        <v>Ricki Lake</v>
      </c>
      <c r="H458" s="8" t="s">
        <v>10</v>
      </c>
      <c r="I458" s="9">
        <v>118871849</v>
      </c>
      <c r="J458" s="10">
        <v>84000000</v>
      </c>
      <c r="L458" s="10">
        <v>75000000</v>
      </c>
      <c r="M458" s="13"/>
      <c r="N458" s="13"/>
      <c r="O458" s="13"/>
      <c r="P458" s="13"/>
    </row>
    <row r="459" spans="1:16" ht="31" x14ac:dyDescent="0.35">
      <c r="A459" s="5">
        <v>458</v>
      </c>
      <c r="B459" s="6" t="s">
        <v>465</v>
      </c>
      <c r="C459" s="7">
        <v>10</v>
      </c>
      <c r="D459" s="7" t="str">
        <f>VLOOKUP(C459,'5-Genre Codes'!$A$1:$B$11,2,FALSE)</f>
        <v>Contemporary Fiction</v>
      </c>
      <c r="E459" s="8">
        <v>1981</v>
      </c>
      <c r="F459" s="6">
        <v>13750</v>
      </c>
      <c r="G459" s="6" t="str">
        <f>VLOOKUP(F459,'4-Actor Codes'!$A$1:$B$622,2,FALSE)</f>
        <v>Jane Fonda</v>
      </c>
      <c r="H459" s="8" t="s">
        <v>10</v>
      </c>
      <c r="I459" s="9">
        <v>118710777</v>
      </c>
      <c r="J459" s="10">
        <v>51634572</v>
      </c>
      <c r="L459" s="10">
        <v>70000000</v>
      </c>
      <c r="M459" s="13"/>
      <c r="N459" s="13"/>
      <c r="O459" s="13"/>
      <c r="P459" s="13"/>
    </row>
    <row r="460" spans="1:16" ht="31" x14ac:dyDescent="0.35">
      <c r="A460" s="5">
        <v>459</v>
      </c>
      <c r="B460" s="6" t="s">
        <v>466</v>
      </c>
      <c r="C460" s="7">
        <v>10</v>
      </c>
      <c r="D460" s="7" t="str">
        <f>VLOOKUP(C460,'5-Genre Codes'!$A$1:$B$11,2,FALSE)</f>
        <v>Contemporary Fiction</v>
      </c>
      <c r="E460" s="8">
        <v>2006</v>
      </c>
      <c r="F460" s="6">
        <v>14515</v>
      </c>
      <c r="G460" s="6" t="str">
        <f>VLOOKUP(F460,'4-Actor Codes'!$A$1:$B$622,2,FALSE)</f>
        <v>Judy Davis</v>
      </c>
      <c r="H460" s="8" t="s">
        <v>10</v>
      </c>
      <c r="I460" s="9">
        <v>118703275</v>
      </c>
      <c r="J460" s="10">
        <v>87024032</v>
      </c>
      <c r="L460" s="10">
        <v>52000000</v>
      </c>
      <c r="M460" s="13"/>
      <c r="N460" s="13"/>
      <c r="O460" s="13"/>
      <c r="P460" s="13"/>
    </row>
    <row r="461" spans="1:16" x14ac:dyDescent="0.35">
      <c r="A461" s="5">
        <v>460</v>
      </c>
      <c r="B461" s="6" t="s">
        <v>467</v>
      </c>
      <c r="C461" s="7">
        <v>60</v>
      </c>
      <c r="D461" s="7" t="str">
        <f>VLOOKUP(C461,'5-Genre Codes'!$A$1:$B$11,2,FALSE)</f>
        <v>Kids Fiction</v>
      </c>
      <c r="E461" s="8">
        <v>2004</v>
      </c>
      <c r="F461" s="6">
        <v>14155</v>
      </c>
      <c r="G461" s="6" t="str">
        <f>VLOOKUP(F461,'4-Actor Codes'!$A$1:$B$622,2,FALSE)</f>
        <v>Jim Carrey</v>
      </c>
      <c r="H461" s="8" t="s">
        <v>10</v>
      </c>
      <c r="I461" s="9">
        <v>118627117</v>
      </c>
      <c r="J461" s="10">
        <v>94328907</v>
      </c>
      <c r="L461" s="10">
        <v>100000000</v>
      </c>
      <c r="M461" s="13"/>
      <c r="N461" s="13"/>
      <c r="O461" s="13"/>
      <c r="P461" s="13"/>
    </row>
    <row r="462" spans="1:16" ht="31" x14ac:dyDescent="0.35">
      <c r="A462" s="5">
        <v>461</v>
      </c>
      <c r="B462" s="6" t="s">
        <v>468</v>
      </c>
      <c r="C462" s="7">
        <v>10</v>
      </c>
      <c r="D462" s="7" t="str">
        <f>VLOOKUP(C462,'5-Genre Codes'!$A$1:$B$11,2,FALSE)</f>
        <v>Contemporary Fiction</v>
      </c>
      <c r="E462" s="8">
        <v>2002</v>
      </c>
      <c r="F462" s="6">
        <v>10630</v>
      </c>
      <c r="G462" s="6" t="str">
        <f>VLOOKUP(F462,'4-Actor Codes'!$A$1:$B$622,2,FALSE)</f>
        <v>Ben Affleck</v>
      </c>
      <c r="H462" s="8" t="s">
        <v>10</v>
      </c>
      <c r="I462" s="9">
        <v>118471320</v>
      </c>
      <c r="J462" s="10">
        <v>75028680</v>
      </c>
      <c r="L462" s="10">
        <v>68000000</v>
      </c>
      <c r="M462" s="13"/>
      <c r="N462" s="13"/>
      <c r="O462" s="13"/>
      <c r="P462" s="13"/>
    </row>
    <row r="463" spans="1:16" ht="31" x14ac:dyDescent="0.35">
      <c r="A463" s="5">
        <v>462</v>
      </c>
      <c r="B463" s="6" t="s">
        <v>469</v>
      </c>
      <c r="C463" s="7">
        <v>10</v>
      </c>
      <c r="D463" s="7" t="str">
        <f>VLOOKUP(C463,'5-Genre Codes'!$A$1:$B$11,2,FALSE)</f>
        <v>Contemporary Fiction</v>
      </c>
      <c r="E463" s="8">
        <v>2010</v>
      </c>
      <c r="F463" s="6">
        <v>10330</v>
      </c>
      <c r="G463" s="6" t="str">
        <f>VLOOKUP(F463,'4-Actor Codes'!$A$1:$B$622,2,FALSE)</f>
        <v>Angelina Jolie</v>
      </c>
      <c r="H463" s="8" t="s">
        <v>10</v>
      </c>
      <c r="I463" s="9">
        <v>118311368</v>
      </c>
      <c r="J463" s="10">
        <v>172339126</v>
      </c>
      <c r="L463" s="10">
        <v>130000000</v>
      </c>
      <c r="M463" s="13"/>
      <c r="N463" s="13"/>
      <c r="O463" s="13"/>
      <c r="P463" s="13"/>
    </row>
    <row r="464" spans="1:16" ht="31" x14ac:dyDescent="0.35">
      <c r="A464" s="5">
        <v>463</v>
      </c>
      <c r="B464" s="6" t="s">
        <v>470</v>
      </c>
      <c r="C464" s="7">
        <v>10</v>
      </c>
      <c r="D464" s="7" t="str">
        <f>VLOOKUP(C464,'5-Genre Codes'!$A$1:$B$11,2,FALSE)</f>
        <v>Contemporary Fiction</v>
      </c>
      <c r="E464" s="8">
        <v>2007</v>
      </c>
      <c r="F464" s="6">
        <v>17215</v>
      </c>
      <c r="G464" s="6" t="str">
        <f>VLOOKUP(F464,'4-Actor Codes'!$A$1:$B$622,2,FALSE)</f>
        <v>Rob Corddry</v>
      </c>
      <c r="H464" s="8" t="s">
        <v>10</v>
      </c>
      <c r="I464" s="9">
        <v>118245842</v>
      </c>
      <c r="J464" s="10">
        <v>27000000</v>
      </c>
      <c r="L464" s="10">
        <v>61000000</v>
      </c>
      <c r="M464" s="13"/>
      <c r="N464" s="13"/>
      <c r="O464" s="13"/>
      <c r="P464" s="13"/>
    </row>
    <row r="465" spans="1:16" ht="31" x14ac:dyDescent="0.35">
      <c r="A465" s="5">
        <v>464</v>
      </c>
      <c r="B465" s="6" t="s">
        <v>471</v>
      </c>
      <c r="C465" s="7">
        <v>10</v>
      </c>
      <c r="D465" s="7" t="str">
        <f>VLOOKUP(C465,'5-Genre Codes'!$A$1:$B$11,2,FALSE)</f>
        <v>Contemporary Fiction</v>
      </c>
      <c r="E465" s="8">
        <v>2013</v>
      </c>
      <c r="F465" s="6">
        <v>13345</v>
      </c>
      <c r="G465" s="6" t="str">
        <f>VLOOKUP(F465,'4-Actor Codes'!$A$1:$B$622,2,FALSE)</f>
        <v>Isla Fisher</v>
      </c>
      <c r="H465" s="8" t="s">
        <v>10</v>
      </c>
      <c r="I465" s="9">
        <v>117723989</v>
      </c>
      <c r="J465" s="10">
        <v>234000000</v>
      </c>
      <c r="L465" s="10">
        <v>75000000</v>
      </c>
      <c r="M465" s="13"/>
      <c r="N465" s="13"/>
      <c r="O465" s="13"/>
      <c r="P465" s="13"/>
    </row>
    <row r="466" spans="1:16" ht="31" x14ac:dyDescent="0.35">
      <c r="A466" s="5">
        <v>465</v>
      </c>
      <c r="B466" s="6" t="s">
        <v>472</v>
      </c>
      <c r="C466" s="7">
        <v>10</v>
      </c>
      <c r="D466" s="7" t="str">
        <f>VLOOKUP(C466,'5-Genre Codes'!$A$1:$B$11,2,FALSE)</f>
        <v>Contemporary Fiction</v>
      </c>
      <c r="E466" s="8">
        <v>2000</v>
      </c>
      <c r="F466" s="6">
        <v>11260</v>
      </c>
      <c r="G466" s="6" t="str">
        <f>VLOOKUP(F466,'4-Actor Codes'!$A$1:$B$622,2,FALSE)</f>
        <v>Cedric the Entertainer</v>
      </c>
      <c r="H466" s="8" t="s">
        <v>10</v>
      </c>
      <c r="I466" s="9">
        <v>117559438</v>
      </c>
      <c r="J466" s="10">
        <v>56000000</v>
      </c>
      <c r="L466" s="10">
        <v>33000000</v>
      </c>
      <c r="M466" s="13"/>
      <c r="N466" s="13"/>
      <c r="O466" s="13"/>
      <c r="P466" s="13"/>
    </row>
    <row r="467" spans="1:16" ht="31" x14ac:dyDescent="0.35">
      <c r="A467" s="5">
        <v>466</v>
      </c>
      <c r="B467" s="6" t="s">
        <v>473</v>
      </c>
      <c r="C467" s="7">
        <v>10</v>
      </c>
      <c r="D467" s="7" t="str">
        <f>VLOOKUP(C467,'5-Genre Codes'!$A$1:$B$11,2,FALSE)</f>
        <v>Contemporary Fiction</v>
      </c>
      <c r="E467" s="8">
        <v>2010</v>
      </c>
      <c r="F467" s="6">
        <v>13795</v>
      </c>
      <c r="G467" s="6" t="str">
        <f>VLOOKUP(F467,'4-Actor Codes'!$A$1:$B$622,2,FALSE)</f>
        <v>Jason Bateman</v>
      </c>
      <c r="H467" s="8" t="s">
        <v>10</v>
      </c>
      <c r="I467" s="9">
        <v>117538559</v>
      </c>
      <c r="J467" s="10">
        <v>94879042</v>
      </c>
      <c r="L467" s="10">
        <v>35000000</v>
      </c>
      <c r="M467" s="13"/>
      <c r="N467" s="13"/>
      <c r="O467" s="13"/>
      <c r="P467" s="13"/>
    </row>
    <row r="468" spans="1:16" ht="31" x14ac:dyDescent="0.35">
      <c r="A468" s="5">
        <v>467</v>
      </c>
      <c r="B468" s="6" t="s">
        <v>474</v>
      </c>
      <c r="C468" s="7">
        <v>10</v>
      </c>
      <c r="D468" s="7" t="str">
        <f>VLOOKUP(C468,'5-Genre Codes'!$A$1:$B$11,2,FALSE)</f>
        <v>Contemporary Fiction</v>
      </c>
      <c r="E468" s="8">
        <v>1990</v>
      </c>
      <c r="F468" s="6">
        <v>14800</v>
      </c>
      <c r="G468" s="6" t="str">
        <f>VLOOKUP(F468,'4-Actor Codes'!$A$1:$B$622,2,FALSE)</f>
        <v>Ken Baldwin</v>
      </c>
      <c r="H468" s="8" t="s">
        <v>10</v>
      </c>
      <c r="I468" s="9">
        <v>117323878</v>
      </c>
      <c r="J468" s="10">
        <v>122490147</v>
      </c>
      <c r="L468" s="10">
        <v>70000000</v>
      </c>
      <c r="M468" s="13"/>
      <c r="N468" s="13"/>
      <c r="O468" s="13"/>
      <c r="P468" s="13"/>
    </row>
    <row r="469" spans="1:16" ht="31" x14ac:dyDescent="0.35">
      <c r="A469" s="5">
        <v>468</v>
      </c>
      <c r="B469" s="6" t="s">
        <v>475</v>
      </c>
      <c r="C469" s="7">
        <v>10</v>
      </c>
      <c r="D469" s="7" t="str">
        <f>VLOOKUP(C469,'5-Genre Codes'!$A$1:$B$11,2,FALSE)</f>
        <v>Contemporary Fiction</v>
      </c>
      <c r="E469" s="8">
        <v>1976</v>
      </c>
      <c r="F469" s="6">
        <v>18385</v>
      </c>
      <c r="G469" s="6" t="str">
        <f>VLOOKUP(F469,'4-Actor Codes'!$A$1:$B$622,2,FALSE)</f>
        <v>Sylvester Stallone</v>
      </c>
      <c r="H469" s="8" t="s">
        <v>10</v>
      </c>
      <c r="I469" s="9">
        <v>117235147</v>
      </c>
      <c r="J469" s="10">
        <v>107764853</v>
      </c>
      <c r="K469" s="11" t="s">
        <v>1010</v>
      </c>
      <c r="L469" s="10">
        <v>1000000</v>
      </c>
      <c r="M469" s="13"/>
      <c r="N469" s="13"/>
      <c r="O469" s="13"/>
      <c r="P469" s="13"/>
    </row>
    <row r="470" spans="1:16" ht="31" x14ac:dyDescent="0.35">
      <c r="A470" s="5">
        <v>469</v>
      </c>
      <c r="B470" s="6" t="s">
        <v>476</v>
      </c>
      <c r="C470" s="7">
        <v>30</v>
      </c>
      <c r="D470" s="7" t="str">
        <f>VLOOKUP(C470,'5-Genre Codes'!$A$1:$B$11,2,FALSE)</f>
        <v>Factual</v>
      </c>
      <c r="E470" s="8">
        <v>2010</v>
      </c>
      <c r="F470" s="6">
        <v>14365</v>
      </c>
      <c r="G470" s="6" t="str">
        <f>VLOOKUP(F470,'4-Actor Codes'!$A$1:$B$622,2,FALSE)</f>
        <v>Johnny Knoxville</v>
      </c>
      <c r="H470" s="8" t="s">
        <v>13</v>
      </c>
      <c r="I470" s="9">
        <v>117229692</v>
      </c>
      <c r="J470" s="10">
        <v>54456101</v>
      </c>
      <c r="L470" s="10">
        <v>20000000</v>
      </c>
      <c r="M470" s="13"/>
      <c r="N470" s="13"/>
      <c r="O470" s="13"/>
      <c r="P470" s="13"/>
    </row>
    <row r="471" spans="1:16" ht="31" x14ac:dyDescent="0.35">
      <c r="A471" s="5">
        <v>470</v>
      </c>
      <c r="B471" s="6" t="s">
        <v>477</v>
      </c>
      <c r="C471" s="7">
        <v>10</v>
      </c>
      <c r="D471" s="7" t="str">
        <f>VLOOKUP(C471,'5-Genre Codes'!$A$1:$B$11,2,FALSE)</f>
        <v>Contemporary Fiction</v>
      </c>
      <c r="E471" s="8">
        <v>2007</v>
      </c>
      <c r="F471" s="6">
        <v>12925</v>
      </c>
      <c r="G471" s="6" t="str">
        <f>VLOOKUP(F471,'4-Actor Codes'!$A$1:$B$622,2,FALSE)</f>
        <v>George Clooney</v>
      </c>
      <c r="H471" s="8" t="s">
        <v>13</v>
      </c>
      <c r="I471" s="9">
        <v>117144465</v>
      </c>
      <c r="J471" s="10">
        <v>194600000</v>
      </c>
      <c r="L471" s="10">
        <v>85000000</v>
      </c>
      <c r="M471" s="13"/>
      <c r="N471" s="13"/>
      <c r="O471" s="13"/>
      <c r="P471" s="13"/>
    </row>
    <row r="472" spans="1:16" ht="31" x14ac:dyDescent="0.35">
      <c r="A472" s="5">
        <v>471</v>
      </c>
      <c r="B472" s="6" t="s">
        <v>478</v>
      </c>
      <c r="C472" s="7">
        <v>20</v>
      </c>
      <c r="D472" s="7" t="str">
        <f>VLOOKUP(C472,'5-Genre Codes'!$A$1:$B$11,2,FALSE)</f>
        <v>Dramatization</v>
      </c>
      <c r="E472" s="8">
        <v>2011</v>
      </c>
      <c r="F472" s="6">
        <v>15205</v>
      </c>
      <c r="G472" s="6" t="str">
        <f>VLOOKUP(F472,'4-Actor Codes'!$A$1:$B$622,2,FALSE)</f>
        <v>Leonardo DiCaprio</v>
      </c>
      <c r="H472" s="8" t="s">
        <v>10</v>
      </c>
      <c r="I472" s="9">
        <v>116900694</v>
      </c>
      <c r="J472" s="10">
        <v>275076029</v>
      </c>
      <c r="L472" s="10">
        <v>100000000</v>
      </c>
      <c r="M472" s="13"/>
      <c r="N472" s="13"/>
      <c r="O472" s="13"/>
      <c r="P472" s="13"/>
    </row>
    <row r="473" spans="1:16" ht="31" x14ac:dyDescent="0.35">
      <c r="A473" s="5">
        <v>472</v>
      </c>
      <c r="B473" s="6" t="s">
        <v>479</v>
      </c>
      <c r="C473" s="7">
        <v>10</v>
      </c>
      <c r="D473" s="7" t="str">
        <f>VLOOKUP(C473,'5-Genre Codes'!$A$1:$B$11,2,FALSE)</f>
        <v>Contemporary Fiction</v>
      </c>
      <c r="E473" s="8">
        <v>2003</v>
      </c>
      <c r="F473" s="6">
        <v>17755</v>
      </c>
      <c r="G473" s="6" t="str">
        <f>VLOOKUP(F473,'4-Actor Codes'!$A$1:$B$622,2,FALSE)</f>
        <v>Samuel L. Jackson</v>
      </c>
      <c r="H473" s="8" t="s">
        <v>10</v>
      </c>
      <c r="I473" s="9">
        <v>116877597</v>
      </c>
      <c r="J473" s="10">
        <v>90277151</v>
      </c>
      <c r="L473" s="10">
        <v>70000000</v>
      </c>
      <c r="M473" s="13"/>
      <c r="N473" s="13"/>
      <c r="O473" s="13"/>
      <c r="P473" s="13"/>
    </row>
    <row r="474" spans="1:16" ht="31" x14ac:dyDescent="0.35">
      <c r="A474" s="5">
        <v>473</v>
      </c>
      <c r="B474" s="6" t="s">
        <v>480</v>
      </c>
      <c r="C474" s="7">
        <v>10</v>
      </c>
      <c r="D474" s="7" t="str">
        <f>VLOOKUP(C474,'5-Genre Codes'!$A$1:$B$11,2,FALSE)</f>
        <v>Contemporary Fiction</v>
      </c>
      <c r="E474" s="8">
        <v>1993</v>
      </c>
      <c r="F474" s="6">
        <v>17545</v>
      </c>
      <c r="G474" s="6" t="str">
        <f>VLOOKUP(F474,'4-Actor Codes'!$A$1:$B$622,2,FALSE)</f>
        <v>Rosie O'Donnell</v>
      </c>
      <c r="H474" s="8" t="s">
        <v>10</v>
      </c>
      <c r="I474" s="9">
        <v>116856908</v>
      </c>
      <c r="J474" s="10">
        <v>101219116</v>
      </c>
      <c r="L474" s="10">
        <v>0</v>
      </c>
      <c r="M474" s="13"/>
      <c r="N474" s="13"/>
      <c r="O474" s="13"/>
      <c r="P474" s="13"/>
    </row>
    <row r="475" spans="1:16" ht="31" x14ac:dyDescent="0.35">
      <c r="A475" s="5">
        <v>474</v>
      </c>
      <c r="B475" s="6" t="s">
        <v>481</v>
      </c>
      <c r="C475" s="7">
        <v>10</v>
      </c>
      <c r="D475" s="7" t="str">
        <f>VLOOKUP(C475,'5-Genre Codes'!$A$1:$B$11,2,FALSE)</f>
        <v>Contemporary Fiction</v>
      </c>
      <c r="E475" s="8">
        <v>1999</v>
      </c>
      <c r="F475" s="6">
        <v>11950</v>
      </c>
      <c r="G475" s="6" t="str">
        <f>VLOOKUP(F475,'4-Actor Codes'!$A$1:$B$622,2,FALSE)</f>
        <v>Davenia McFadden</v>
      </c>
      <c r="H475" s="8" t="s">
        <v>10</v>
      </c>
      <c r="I475" s="9">
        <v>116735231</v>
      </c>
      <c r="J475" s="10">
        <v>61100000</v>
      </c>
      <c r="L475" s="10">
        <v>40000000</v>
      </c>
      <c r="M475" s="13"/>
      <c r="N475" s="13"/>
      <c r="O475" s="13"/>
      <c r="P475" s="13"/>
    </row>
    <row r="476" spans="1:16" ht="31" x14ac:dyDescent="0.35">
      <c r="A476" s="5">
        <v>475</v>
      </c>
      <c r="B476" s="6" t="s">
        <v>482</v>
      </c>
      <c r="C476" s="7">
        <v>10</v>
      </c>
      <c r="D476" s="7" t="str">
        <f>VLOOKUP(C476,'5-Genre Codes'!$A$1:$B$11,2,FALSE)</f>
        <v>Contemporary Fiction</v>
      </c>
      <c r="E476" s="8">
        <v>2002</v>
      </c>
      <c r="F476" s="6">
        <v>16105</v>
      </c>
      <c r="G476" s="6" t="str">
        <f>VLOOKUP(F476,'4-Actor Codes'!$A$1:$B$622,2,FALSE)</f>
        <v>Michael Shannon</v>
      </c>
      <c r="H476" s="8" t="s">
        <v>10</v>
      </c>
      <c r="I476" s="9">
        <v>116724075</v>
      </c>
      <c r="J476" s="10">
        <v>129045127</v>
      </c>
      <c r="L476" s="10">
        <v>41000000</v>
      </c>
      <c r="M476" s="13"/>
      <c r="N476" s="13"/>
      <c r="O476" s="13"/>
      <c r="P476" s="13"/>
    </row>
    <row r="477" spans="1:16" ht="31" x14ac:dyDescent="0.35">
      <c r="A477" s="5">
        <v>476</v>
      </c>
      <c r="B477" s="6" t="s">
        <v>483</v>
      </c>
      <c r="C477" s="7">
        <v>20</v>
      </c>
      <c r="D477" s="7" t="str">
        <f>VLOOKUP(C477,'5-Genre Codes'!$A$1:$B$11,2,FALSE)</f>
        <v>Dramatization</v>
      </c>
      <c r="E477" s="8">
        <v>2011</v>
      </c>
      <c r="F477" s="6">
        <v>12685</v>
      </c>
      <c r="G477" s="6" t="str">
        <f>VLOOKUP(F477,'4-Actor Codes'!$A$1:$B$622,2,FALSE)</f>
        <v>Forest Whitaker</v>
      </c>
      <c r="H477" s="8" t="s">
        <v>10</v>
      </c>
      <c r="I477" s="9">
        <v>116632095</v>
      </c>
      <c r="J477" s="10">
        <v>60393403</v>
      </c>
      <c r="L477" s="10">
        <v>30000000</v>
      </c>
      <c r="M477" s="13"/>
      <c r="N477" s="13"/>
      <c r="O477" s="13"/>
      <c r="P477" s="13"/>
    </row>
    <row r="478" spans="1:16" x14ac:dyDescent="0.35">
      <c r="A478" s="5">
        <v>477</v>
      </c>
      <c r="B478" s="6" t="s">
        <v>484</v>
      </c>
      <c r="C478" s="7">
        <v>90</v>
      </c>
      <c r="D478" s="7" t="str">
        <f>VLOOKUP(C478,'5-Genre Codes'!$A$1:$B$11,2,FALSE)</f>
        <v>Super Hero</v>
      </c>
      <c r="E478" s="8">
        <v>2011</v>
      </c>
      <c r="F478" s="6">
        <v>18610</v>
      </c>
      <c r="G478" s="6" t="str">
        <f>VLOOKUP(F478,'4-Actor Codes'!$A$1:$B$622,2,FALSE)</f>
        <v>Tim Robbins</v>
      </c>
      <c r="H478" s="8" t="s">
        <v>10</v>
      </c>
      <c r="I478" s="9">
        <v>116601172</v>
      </c>
      <c r="J478" s="10">
        <v>114600000</v>
      </c>
      <c r="L478" s="10">
        <v>200000000</v>
      </c>
      <c r="M478" s="13"/>
      <c r="N478" s="13"/>
      <c r="O478" s="13"/>
      <c r="P478" s="13"/>
    </row>
    <row r="479" spans="1:16" ht="31" x14ac:dyDescent="0.35">
      <c r="A479" s="5">
        <v>478</v>
      </c>
      <c r="B479" s="6" t="s">
        <v>485</v>
      </c>
      <c r="C479" s="7">
        <v>10</v>
      </c>
      <c r="D479" s="7" t="str">
        <f>VLOOKUP(C479,'5-Genre Codes'!$A$1:$B$11,2,FALSE)</f>
        <v>Contemporary Fiction</v>
      </c>
      <c r="E479" s="8">
        <v>1999</v>
      </c>
      <c r="F479" s="6">
        <v>14530</v>
      </c>
      <c r="G479" s="6" t="str">
        <f>VLOOKUP(F479,'4-Actor Codes'!$A$1:$B$622,2,FALSE)</f>
        <v>Julia Roberts</v>
      </c>
      <c r="H479" s="8" t="s">
        <v>10</v>
      </c>
      <c r="I479" s="9">
        <v>116089678</v>
      </c>
      <c r="J479" s="10">
        <v>247638548</v>
      </c>
      <c r="L479" s="10">
        <v>42000000</v>
      </c>
      <c r="M479" s="13"/>
      <c r="N479" s="13"/>
      <c r="O479" s="13"/>
      <c r="P479" s="13"/>
    </row>
    <row r="480" spans="1:16" ht="31" x14ac:dyDescent="0.35">
      <c r="A480" s="5">
        <v>479</v>
      </c>
      <c r="B480" s="6" t="s">
        <v>486</v>
      </c>
      <c r="C480" s="7">
        <v>10</v>
      </c>
      <c r="D480" s="7" t="str">
        <f>VLOOKUP(C480,'5-Genre Codes'!$A$1:$B$11,2,FALSE)</f>
        <v>Contemporary Fiction</v>
      </c>
      <c r="E480" s="8">
        <v>1991</v>
      </c>
      <c r="F480" s="6">
        <v>17290</v>
      </c>
      <c r="G480" s="6" t="str">
        <f>VLOOKUP(F480,'4-Actor Codes'!$A$1:$B$622,2,FALSE)</f>
        <v>Robert Costanzo</v>
      </c>
      <c r="H480" s="8" t="s">
        <v>10</v>
      </c>
      <c r="I480" s="9">
        <v>116014390</v>
      </c>
      <c r="J480" s="10">
        <v>120000000</v>
      </c>
      <c r="L480" s="10">
        <v>55000000</v>
      </c>
      <c r="M480" s="13"/>
      <c r="N480" s="13"/>
      <c r="O480" s="13"/>
      <c r="P480" s="13"/>
    </row>
    <row r="481" spans="1:16" ht="31" x14ac:dyDescent="0.35">
      <c r="A481" s="5">
        <v>480</v>
      </c>
      <c r="B481" s="6" t="s">
        <v>487</v>
      </c>
      <c r="C481" s="7">
        <v>10</v>
      </c>
      <c r="D481" s="7" t="str">
        <f>VLOOKUP(C481,'5-Genre Codes'!$A$1:$B$11,2,FALSE)</f>
        <v>Contemporary Fiction</v>
      </c>
      <c r="E481" s="8">
        <v>1974</v>
      </c>
      <c r="F481" s="6">
        <v>16780</v>
      </c>
      <c r="G481" s="6" t="str">
        <f>VLOOKUP(F481,'4-Actor Codes'!$A$1:$B$622,2,FALSE)</f>
        <v>Paul Newman</v>
      </c>
      <c r="H481" s="8" t="s">
        <v>10</v>
      </c>
      <c r="I481" s="9">
        <v>116000000</v>
      </c>
      <c r="J481" s="10">
        <v>23700000</v>
      </c>
      <c r="L481" s="10">
        <v>14000000</v>
      </c>
      <c r="M481" s="13"/>
      <c r="N481" s="13"/>
      <c r="O481" s="13"/>
      <c r="P481" s="13"/>
    </row>
    <row r="482" spans="1:16" ht="31" x14ac:dyDescent="0.35">
      <c r="A482" s="5">
        <v>481</v>
      </c>
      <c r="B482" s="6" t="s">
        <v>488</v>
      </c>
      <c r="C482" s="7">
        <v>10</v>
      </c>
      <c r="D482" s="7" t="str">
        <f>VLOOKUP(C482,'5-Genre Codes'!$A$1:$B$11,2,FALSE)</f>
        <v>Contemporary Fiction</v>
      </c>
      <c r="E482" s="8">
        <v>1992</v>
      </c>
      <c r="F482" s="6">
        <v>16270</v>
      </c>
      <c r="G482" s="6" t="str">
        <f>VLOOKUP(F482,'4-Actor Codes'!$A$1:$B$622,2,FALSE)</f>
        <v>Mitch Pileggi</v>
      </c>
      <c r="H482" s="8" t="s">
        <v>10</v>
      </c>
      <c r="I482" s="9">
        <v>115881197</v>
      </c>
      <c r="J482" s="10">
        <v>234972776</v>
      </c>
      <c r="L482" s="10">
        <v>0</v>
      </c>
      <c r="M482" s="13"/>
      <c r="N482" s="13"/>
      <c r="O482" s="13"/>
      <c r="P482" s="13"/>
    </row>
    <row r="483" spans="1:16" x14ac:dyDescent="0.35">
      <c r="A483" s="5">
        <v>482</v>
      </c>
      <c r="B483" s="6" t="s">
        <v>489</v>
      </c>
      <c r="C483" s="7">
        <v>90</v>
      </c>
      <c r="D483" s="7" t="str">
        <f>VLOOKUP(C483,'5-Genre Codes'!$A$1:$B$11,2,FALSE)</f>
        <v>Super Hero</v>
      </c>
      <c r="E483" s="8">
        <v>2007</v>
      </c>
      <c r="F483" s="6">
        <v>16465</v>
      </c>
      <c r="G483" s="6" t="str">
        <f>VLOOKUP(F483,'4-Actor Codes'!$A$1:$B$622,2,FALSE)</f>
        <v>Nicolas Cage</v>
      </c>
      <c r="H483" s="8" t="s">
        <v>10</v>
      </c>
      <c r="I483" s="9">
        <v>115802596</v>
      </c>
      <c r="J483" s="10">
        <v>113742993</v>
      </c>
      <c r="L483" s="10">
        <v>120000000</v>
      </c>
      <c r="M483" s="13"/>
      <c r="N483" s="13"/>
      <c r="O483" s="13"/>
      <c r="P483" s="13"/>
    </row>
    <row r="484" spans="1:16" ht="31" x14ac:dyDescent="0.35">
      <c r="A484" s="5">
        <v>483</v>
      </c>
      <c r="B484" s="6" t="s">
        <v>490</v>
      </c>
      <c r="C484" s="7">
        <v>10</v>
      </c>
      <c r="D484" s="7" t="str">
        <f>VLOOKUP(C484,'5-Genre Codes'!$A$1:$B$11,2,FALSE)</f>
        <v>Contemporary Fiction</v>
      </c>
      <c r="E484" s="8">
        <v>1998</v>
      </c>
      <c r="F484" s="6">
        <v>18760</v>
      </c>
      <c r="G484" s="6" t="str">
        <f>VLOOKUP(F484,'4-Actor Codes'!$A$1:$B$622,2,FALSE)</f>
        <v>Tom Hanks</v>
      </c>
      <c r="H484" s="8" t="s">
        <v>10</v>
      </c>
      <c r="I484" s="9">
        <v>115731542</v>
      </c>
      <c r="J484" s="10">
        <v>134978505</v>
      </c>
      <c r="L484" s="10">
        <v>65000000</v>
      </c>
      <c r="M484" s="13"/>
      <c r="N484" s="13"/>
      <c r="O484" s="13"/>
      <c r="P484" s="13"/>
    </row>
    <row r="485" spans="1:16" ht="31" x14ac:dyDescent="0.35">
      <c r="A485" s="5">
        <v>484</v>
      </c>
      <c r="B485" s="6" t="s">
        <v>491</v>
      </c>
      <c r="C485" s="7">
        <v>10</v>
      </c>
      <c r="D485" s="7" t="str">
        <f>VLOOKUP(C485,'5-Genre Codes'!$A$1:$B$11,2,FALSE)</f>
        <v>Contemporary Fiction</v>
      </c>
      <c r="E485" s="8">
        <v>2000</v>
      </c>
      <c r="F485" s="6">
        <v>12115</v>
      </c>
      <c r="G485" s="6" t="str">
        <f>VLOOKUP(F485,'4-Actor Codes'!$A$1:$B$622,2,FALSE)</f>
        <v>Denzel Washington</v>
      </c>
      <c r="H485" s="8" t="s">
        <v>10</v>
      </c>
      <c r="I485" s="9">
        <v>115654751</v>
      </c>
      <c r="J485" s="10">
        <v>21051932</v>
      </c>
      <c r="L485" s="10">
        <v>30000000</v>
      </c>
      <c r="M485" s="13"/>
      <c r="N485" s="13"/>
      <c r="O485" s="13"/>
      <c r="P485" s="13"/>
    </row>
    <row r="486" spans="1:16" ht="31" x14ac:dyDescent="0.35">
      <c r="A486" s="5">
        <v>485</v>
      </c>
      <c r="B486" s="6" t="s">
        <v>492</v>
      </c>
      <c r="C486" s="7">
        <v>80</v>
      </c>
      <c r="D486" s="7" t="str">
        <f>VLOOKUP(C486,'5-Genre Codes'!$A$1:$B$11,2,FALSE)</f>
        <v>Science Fiction</v>
      </c>
      <c r="E486" s="8">
        <v>2009</v>
      </c>
      <c r="F486" s="6">
        <v>15445</v>
      </c>
      <c r="G486" s="6" t="str">
        <f>VLOOKUP(F486,'4-Actor Codes'!$A$1:$B$622,2,FALSE)</f>
        <v>Mampho Brescia</v>
      </c>
      <c r="H486" s="8" t="s">
        <v>10</v>
      </c>
      <c r="I486" s="9">
        <v>115646235</v>
      </c>
      <c r="J486" s="10">
        <v>96807196</v>
      </c>
      <c r="L486" s="10">
        <v>30000000</v>
      </c>
      <c r="M486" s="13"/>
      <c r="N486" s="13"/>
      <c r="O486" s="13"/>
      <c r="P486" s="13"/>
    </row>
    <row r="487" spans="1:16" ht="31" x14ac:dyDescent="0.35">
      <c r="A487" s="5">
        <v>486</v>
      </c>
      <c r="B487" s="6" t="s">
        <v>493</v>
      </c>
      <c r="C487" s="7">
        <v>20</v>
      </c>
      <c r="D487" s="7" t="str">
        <f>VLOOKUP(C487,'5-Genre Codes'!$A$1:$B$11,2,FALSE)</f>
        <v>Dramatization</v>
      </c>
      <c r="E487" s="8">
        <v>2014</v>
      </c>
      <c r="F487" s="6">
        <v>13465</v>
      </c>
      <c r="G487" s="6" t="str">
        <f>VLOOKUP(F487,'4-Actor Codes'!$A$1:$B$622,2,FALSE)</f>
        <v>Jack O'Connell</v>
      </c>
      <c r="H487" s="8" t="s">
        <v>10</v>
      </c>
      <c r="I487" s="9">
        <v>115637895</v>
      </c>
      <c r="J487" s="10">
        <v>47640460</v>
      </c>
      <c r="L487" s="10">
        <v>65000000</v>
      </c>
      <c r="M487" s="13"/>
      <c r="N487" s="13"/>
      <c r="O487" s="13"/>
      <c r="P487" s="13"/>
    </row>
    <row r="488" spans="1:16" ht="31" x14ac:dyDescent="0.35">
      <c r="A488" s="5">
        <v>487</v>
      </c>
      <c r="B488" s="6" t="s">
        <v>494</v>
      </c>
      <c r="C488" s="7">
        <v>10</v>
      </c>
      <c r="D488" s="7" t="str">
        <f>VLOOKUP(C488,'5-Genre Codes'!$A$1:$B$11,2,FALSE)</f>
        <v>Contemporary Fiction</v>
      </c>
      <c r="E488" s="8">
        <v>1973</v>
      </c>
      <c r="F488" s="6">
        <v>16735</v>
      </c>
      <c r="G488" s="6" t="str">
        <f>VLOOKUP(F488,'4-Actor Codes'!$A$1:$B$622,2,FALSE)</f>
        <v>Paul Le Mat</v>
      </c>
      <c r="H488" s="8" t="s">
        <v>10</v>
      </c>
      <c r="I488" s="9">
        <v>115000000</v>
      </c>
      <c r="J488" s="10">
        <v>25000000</v>
      </c>
      <c r="L488" s="10">
        <v>777000</v>
      </c>
      <c r="M488" s="13"/>
      <c r="N488" s="13"/>
      <c r="O488" s="13"/>
      <c r="P488" s="13"/>
    </row>
    <row r="489" spans="1:16" ht="31" x14ac:dyDescent="0.35">
      <c r="A489" s="5">
        <v>488</v>
      </c>
      <c r="B489" s="6" t="s">
        <v>495</v>
      </c>
      <c r="C489" s="7">
        <v>10</v>
      </c>
      <c r="D489" s="7" t="str">
        <f>VLOOKUP(C489,'5-Genre Codes'!$A$1:$B$11,2,FALSE)</f>
        <v>Contemporary Fiction</v>
      </c>
      <c r="E489" s="8">
        <v>2004</v>
      </c>
      <c r="F489" s="6">
        <v>14260</v>
      </c>
      <c r="G489" s="6" t="str">
        <f>VLOOKUP(F489,'4-Actor Codes'!$A$1:$B$622,2,FALSE)</f>
        <v>Joel Moore</v>
      </c>
      <c r="H489" s="8" t="s">
        <v>10</v>
      </c>
      <c r="I489" s="9">
        <v>114326736</v>
      </c>
      <c r="J489" s="10">
        <v>53464968</v>
      </c>
      <c r="L489" s="10">
        <v>30000000</v>
      </c>
      <c r="M489" s="13"/>
      <c r="N489" s="13"/>
      <c r="O489" s="13"/>
      <c r="P489" s="13"/>
    </row>
    <row r="490" spans="1:16" ht="31" x14ac:dyDescent="0.35">
      <c r="A490" s="5">
        <v>489</v>
      </c>
      <c r="B490" s="6" t="s">
        <v>496</v>
      </c>
      <c r="C490" s="7">
        <v>10</v>
      </c>
      <c r="D490" s="7" t="str">
        <f>VLOOKUP(C490,'5-Genre Codes'!$A$1:$B$11,2,FALSE)</f>
        <v>Contemporary Fiction</v>
      </c>
      <c r="E490" s="8">
        <v>2004</v>
      </c>
      <c r="F490" s="6">
        <v>14200</v>
      </c>
      <c r="G490" s="6" t="str">
        <f>VLOOKUP(F490,'4-Actor Codes'!$A$1:$B$622,2,FALSE)</f>
        <v>Joaquin Phoenix</v>
      </c>
      <c r="H490" s="8" t="s">
        <v>10</v>
      </c>
      <c r="I490" s="9">
        <v>114197520</v>
      </c>
      <c r="J490" s="10">
        <v>143444114</v>
      </c>
      <c r="L490" s="10">
        <v>71682975</v>
      </c>
      <c r="M490" s="13"/>
      <c r="N490" s="13"/>
      <c r="O490" s="13"/>
      <c r="P490" s="13"/>
    </row>
    <row r="491" spans="1:16" ht="31" x14ac:dyDescent="0.35">
      <c r="A491" s="5">
        <v>490</v>
      </c>
      <c r="B491" s="6" t="s">
        <v>497</v>
      </c>
      <c r="C491" s="7">
        <v>60</v>
      </c>
      <c r="D491" s="7" t="str">
        <f>VLOOKUP(C491,'5-Genre Codes'!$A$1:$B$11,2,FALSE)</f>
        <v>Kids Fiction</v>
      </c>
      <c r="E491" s="8">
        <v>2008</v>
      </c>
      <c r="F491" s="6">
        <v>18370</v>
      </c>
      <c r="G491" s="6" t="str">
        <f>VLOOKUP(F491,'4-Actor Codes'!$A$1:$B$622,2,FALSE)</f>
        <v>Susie Essman</v>
      </c>
      <c r="H491" s="8" t="s">
        <v>10</v>
      </c>
      <c r="I491" s="9">
        <v>114053759</v>
      </c>
      <c r="J491" s="10">
        <v>213961450</v>
      </c>
      <c r="L491" s="10">
        <v>150000000</v>
      </c>
      <c r="M491" s="13"/>
      <c r="N491" s="13"/>
      <c r="O491" s="13"/>
      <c r="P491" s="13"/>
    </row>
    <row r="492" spans="1:16" x14ac:dyDescent="0.35">
      <c r="A492" s="5">
        <v>491</v>
      </c>
      <c r="B492" s="6" t="s">
        <v>498</v>
      </c>
      <c r="C492" s="7">
        <v>50</v>
      </c>
      <c r="D492" s="7" t="str">
        <f>VLOOKUP(C492,'5-Genre Codes'!$A$1:$B$11,2,FALSE)</f>
        <v>Historical Fiction</v>
      </c>
      <c r="E492" s="8">
        <v>1999</v>
      </c>
      <c r="F492" s="6">
        <v>19165</v>
      </c>
      <c r="G492" s="6" t="str">
        <f>VLOOKUP(F492,'4-Actor Codes'!$A$1:$B$622,2,FALSE)</f>
        <v>Will Smith</v>
      </c>
      <c r="H492" s="8" t="s">
        <v>10</v>
      </c>
      <c r="I492" s="9">
        <v>113805681</v>
      </c>
      <c r="J492" s="10">
        <v>107423654</v>
      </c>
      <c r="L492" s="10">
        <v>175000000</v>
      </c>
      <c r="M492" s="13"/>
      <c r="N492" s="13"/>
      <c r="O492" s="13"/>
      <c r="P492" s="13"/>
    </row>
    <row r="493" spans="1:16" x14ac:dyDescent="0.35">
      <c r="A493" s="5">
        <v>492</v>
      </c>
      <c r="B493" s="6" t="s">
        <v>499</v>
      </c>
      <c r="C493" s="7">
        <v>40</v>
      </c>
      <c r="D493" s="7" t="str">
        <f>VLOOKUP(C493,'5-Genre Codes'!$A$1:$B$11,2,FALSE)</f>
        <v>Fantasy</v>
      </c>
      <c r="E493" s="8">
        <v>2014</v>
      </c>
      <c r="F493" s="6">
        <v>10660</v>
      </c>
      <c r="G493" s="6" t="str">
        <f>VLOOKUP(F493,'4-Actor Codes'!$A$1:$B$622,2,FALSE)</f>
        <v>Ben Stiller</v>
      </c>
      <c r="H493" s="8" t="s">
        <v>13</v>
      </c>
      <c r="I493" s="9">
        <v>113746621</v>
      </c>
      <c r="J493" s="10">
        <v>242800000</v>
      </c>
      <c r="L493" s="10">
        <v>127000000</v>
      </c>
      <c r="M493" s="13"/>
      <c r="N493" s="13"/>
      <c r="O493" s="13"/>
      <c r="P493" s="13"/>
    </row>
    <row r="494" spans="1:16" ht="31" x14ac:dyDescent="0.35">
      <c r="A494" s="5">
        <v>493</v>
      </c>
      <c r="B494" s="6" t="s">
        <v>500</v>
      </c>
      <c r="C494" s="7">
        <v>10</v>
      </c>
      <c r="D494" s="7" t="str">
        <f>VLOOKUP(C494,'5-Genre Codes'!$A$1:$B$11,2,FALSE)</f>
        <v>Contemporary Fiction</v>
      </c>
      <c r="E494" s="8">
        <v>2012</v>
      </c>
      <c r="F494" s="6">
        <v>11290</v>
      </c>
      <c r="G494" s="6" t="str">
        <f>VLOOKUP(F494,'4-Actor Codes'!$A$1:$B$622,2,FALSE)</f>
        <v>Channing Tatum</v>
      </c>
      <c r="H494" s="8" t="s">
        <v>10</v>
      </c>
      <c r="I494" s="9">
        <v>113721571</v>
      </c>
      <c r="J494" s="10">
        <v>56828182</v>
      </c>
      <c r="L494" s="10">
        <v>7000000</v>
      </c>
      <c r="M494" s="13"/>
      <c r="N494" s="13"/>
      <c r="O494" s="13"/>
      <c r="P494" s="13"/>
    </row>
    <row r="495" spans="1:16" ht="31" x14ac:dyDescent="0.35">
      <c r="A495" s="5">
        <v>494</v>
      </c>
      <c r="B495" s="6" t="s">
        <v>501</v>
      </c>
      <c r="C495" s="7">
        <v>40</v>
      </c>
      <c r="D495" s="7" t="str">
        <f>VLOOKUP(C495,'5-Genre Codes'!$A$1:$B$11,2,FALSE)</f>
        <v>Fantasy</v>
      </c>
      <c r="E495" s="8">
        <v>1991</v>
      </c>
      <c r="F495" s="6">
        <v>10600</v>
      </c>
      <c r="G495" s="6" t="str">
        <f>VLOOKUP(F495,'4-Actor Codes'!$A$1:$B$622,2,FALSE)</f>
        <v>Barry Sonnenfeld</v>
      </c>
      <c r="H495" s="8" t="s">
        <v>10</v>
      </c>
      <c r="I495" s="9">
        <v>113502246</v>
      </c>
      <c r="J495" s="10">
        <v>100019072</v>
      </c>
      <c r="L495" s="10">
        <v>110000000</v>
      </c>
      <c r="M495" s="13"/>
      <c r="N495" s="13"/>
      <c r="O495" s="13"/>
      <c r="P495" s="13"/>
    </row>
    <row r="496" spans="1:16" ht="31" x14ac:dyDescent="0.35">
      <c r="A496" s="5">
        <v>495</v>
      </c>
      <c r="B496" s="6" t="s">
        <v>502</v>
      </c>
      <c r="C496" s="7">
        <v>50</v>
      </c>
      <c r="D496" s="7" t="str">
        <f>VLOOKUP(C496,'5-Genre Codes'!$A$1:$B$11,2,FALSE)</f>
        <v>Historical Fiction</v>
      </c>
      <c r="E496" s="8">
        <v>1990</v>
      </c>
      <c r="F496" s="6">
        <v>18640</v>
      </c>
      <c r="G496" s="6" t="str">
        <f>VLOOKUP(F496,'4-Actor Codes'!$A$1:$B$622,2,FALSE)</f>
        <v>Timothy Carhart</v>
      </c>
      <c r="H496" s="8" t="s">
        <v>10</v>
      </c>
      <c r="I496" s="9">
        <v>113485385</v>
      </c>
      <c r="J496" s="10">
        <v>79790134</v>
      </c>
      <c r="L496" s="10">
        <v>30000000</v>
      </c>
      <c r="M496" s="13"/>
      <c r="N496" s="13"/>
      <c r="O496" s="13"/>
      <c r="P496" s="13"/>
    </row>
    <row r="497" spans="1:16" x14ac:dyDescent="0.35">
      <c r="A497" s="5">
        <v>496</v>
      </c>
      <c r="B497" s="6" t="s">
        <v>503</v>
      </c>
      <c r="C497" s="7">
        <v>50</v>
      </c>
      <c r="D497" s="7" t="str">
        <f>VLOOKUP(C497,'5-Genre Codes'!$A$1:$B$11,2,FALSE)</f>
        <v>Historical Fiction</v>
      </c>
      <c r="E497" s="8">
        <v>2000</v>
      </c>
      <c r="F497" s="6">
        <v>15865</v>
      </c>
      <c r="G497" s="6" t="str">
        <f>VLOOKUP(F497,'4-Actor Codes'!$A$1:$B$622,2,FALSE)</f>
        <v>Mel Gibson</v>
      </c>
      <c r="H497" s="8" t="s">
        <v>10</v>
      </c>
      <c r="I497" s="9">
        <v>113330342</v>
      </c>
      <c r="J497" s="10">
        <v>101969658</v>
      </c>
      <c r="L497" s="10">
        <v>110000000</v>
      </c>
      <c r="M497" s="13"/>
      <c r="N497" s="13"/>
      <c r="O497" s="13"/>
      <c r="P497" s="13"/>
    </row>
    <row r="498" spans="1:16" ht="31" x14ac:dyDescent="0.35">
      <c r="A498" s="5">
        <v>497</v>
      </c>
      <c r="B498" s="6" t="s">
        <v>504</v>
      </c>
      <c r="C498" s="7">
        <v>40</v>
      </c>
      <c r="D498" s="7" t="str">
        <f>VLOOKUP(C498,'5-Genre Codes'!$A$1:$B$11,2,FALSE)</f>
        <v>Fantasy</v>
      </c>
      <c r="E498" s="8">
        <v>1988</v>
      </c>
      <c r="F498" s="6">
        <v>12070</v>
      </c>
      <c r="G498" s="6" t="str">
        <f>VLOOKUP(F498,'4-Actor Codes'!$A$1:$B$622,2,FALSE)</f>
        <v>Debra Jo Rupp</v>
      </c>
      <c r="H498" s="8" t="s">
        <v>10</v>
      </c>
      <c r="I498" s="9">
        <v>113327971</v>
      </c>
      <c r="J498" s="10">
        <v>36700000</v>
      </c>
      <c r="L498" s="10">
        <v>18000000</v>
      </c>
      <c r="M498" s="13"/>
      <c r="N498" s="13"/>
      <c r="O498" s="13"/>
      <c r="P498" s="13"/>
    </row>
    <row r="499" spans="1:16" ht="31" x14ac:dyDescent="0.35">
      <c r="A499" s="5">
        <v>498</v>
      </c>
      <c r="B499" s="6" t="s">
        <v>505</v>
      </c>
      <c r="C499" s="7">
        <v>10</v>
      </c>
      <c r="D499" s="7" t="str">
        <f>VLOOKUP(C499,'5-Genre Codes'!$A$1:$B$11,2,FALSE)</f>
        <v>Contemporary Fiction</v>
      </c>
      <c r="E499" s="8">
        <v>2011</v>
      </c>
      <c r="F499" s="6">
        <v>14065</v>
      </c>
      <c r="G499" s="6" t="str">
        <f>VLOOKUP(F499,'4-Actor Codes'!$A$1:$B$622,2,FALSE)</f>
        <v>Jeremy Renner</v>
      </c>
      <c r="H499" s="8" t="s">
        <v>13</v>
      </c>
      <c r="I499" s="9">
        <v>113203870</v>
      </c>
      <c r="J499" s="10">
        <v>167152050</v>
      </c>
      <c r="L499" s="10">
        <v>125000000</v>
      </c>
      <c r="M499" s="13"/>
      <c r="N499" s="13"/>
      <c r="O499" s="13"/>
      <c r="P499" s="13"/>
    </row>
    <row r="500" spans="1:16" ht="31" x14ac:dyDescent="0.35">
      <c r="A500" s="5">
        <v>499</v>
      </c>
      <c r="B500" s="6" t="s">
        <v>506</v>
      </c>
      <c r="C500" s="7">
        <v>10</v>
      </c>
      <c r="D500" s="7" t="str">
        <f>VLOOKUP(C500,'5-Genre Codes'!$A$1:$B$11,2,FALSE)</f>
        <v>Contemporary Fiction</v>
      </c>
      <c r="E500" s="8">
        <v>2005</v>
      </c>
      <c r="F500" s="6">
        <v>11395</v>
      </c>
      <c r="G500" s="6" t="str">
        <f>VLOOKUP(F500,'4-Actor Codes'!$A$1:$B$622,2,FALSE)</f>
        <v>Chris Potter</v>
      </c>
      <c r="H500" s="8" t="s">
        <v>10</v>
      </c>
      <c r="I500" s="9">
        <v>113006880</v>
      </c>
      <c r="J500" s="10">
        <v>85000000</v>
      </c>
      <c r="L500" s="10">
        <v>56000000</v>
      </c>
      <c r="M500" s="13"/>
      <c r="N500" s="13"/>
      <c r="O500" s="13"/>
      <c r="P500" s="13"/>
    </row>
    <row r="501" spans="1:16" x14ac:dyDescent="0.35">
      <c r="A501" s="5">
        <v>500</v>
      </c>
      <c r="B501" s="6" t="s">
        <v>507</v>
      </c>
      <c r="C501" s="7">
        <v>60</v>
      </c>
      <c r="D501" s="7" t="str">
        <f>VLOOKUP(C501,'5-Genre Codes'!$A$1:$B$11,2,FALSE)</f>
        <v>Kids Fiction</v>
      </c>
      <c r="E501" s="8">
        <v>2001</v>
      </c>
      <c r="F501" s="6">
        <v>11980</v>
      </c>
      <c r="G501" s="6" t="str">
        <f>VLOOKUP(F501,'4-Actor Codes'!$A$1:$B$622,2,FALSE)</f>
        <v>David Cross</v>
      </c>
      <c r="H501" s="8" t="s">
        <v>13</v>
      </c>
      <c r="I501" s="9">
        <v>112950721</v>
      </c>
      <c r="J501" s="10">
        <v>63151000</v>
      </c>
      <c r="L501" s="10">
        <v>72000000</v>
      </c>
      <c r="M501" s="13"/>
      <c r="N501" s="13"/>
      <c r="O501" s="13"/>
      <c r="P501" s="13"/>
    </row>
    <row r="502" spans="1:16" ht="31" x14ac:dyDescent="0.35">
      <c r="A502" s="5">
        <v>501</v>
      </c>
      <c r="B502" s="6" t="s">
        <v>508</v>
      </c>
      <c r="C502" s="7">
        <v>10</v>
      </c>
      <c r="D502" s="7" t="str">
        <f>VLOOKUP(C502,'5-Genre Codes'!$A$1:$B$11,2,FALSE)</f>
        <v>Contemporary Fiction</v>
      </c>
      <c r="E502" s="8">
        <v>2009</v>
      </c>
      <c r="F502" s="6">
        <v>16555</v>
      </c>
      <c r="G502" s="6" t="str">
        <f>VLOOKUP(F502,'4-Actor Codes'!$A$1:$B$622,2,FALSE)</f>
        <v>Nora Dunn</v>
      </c>
      <c r="H502" s="8" t="s">
        <v>10</v>
      </c>
      <c r="I502" s="9">
        <v>112735375</v>
      </c>
      <c r="J502" s="10">
        <v>111879369</v>
      </c>
      <c r="L502" s="10">
        <v>85000000</v>
      </c>
      <c r="M502" s="13"/>
      <c r="N502" s="13"/>
      <c r="O502" s="13"/>
      <c r="P502" s="13"/>
    </row>
    <row r="503" spans="1:16" ht="31" x14ac:dyDescent="0.35">
      <c r="A503" s="5">
        <v>502</v>
      </c>
      <c r="B503" s="6" t="s">
        <v>509</v>
      </c>
      <c r="C503" s="7">
        <v>60</v>
      </c>
      <c r="D503" s="7" t="str">
        <f>VLOOKUP(C503,'5-Genre Codes'!$A$1:$B$11,2,FALSE)</f>
        <v>Kids Fiction</v>
      </c>
      <c r="E503" s="8">
        <v>2001</v>
      </c>
      <c r="F503" s="6">
        <v>10495</v>
      </c>
      <c r="G503" s="6" t="str">
        <f>VLOOKUP(F503,'4-Actor Codes'!$A$1:$B$622,2,FALSE)</f>
        <v>Antonio Banderas</v>
      </c>
      <c r="H503" s="8" t="s">
        <v>10</v>
      </c>
      <c r="I503" s="9">
        <v>112692062</v>
      </c>
      <c r="J503" s="10">
        <v>85000000</v>
      </c>
      <c r="L503" s="10">
        <v>35000000</v>
      </c>
      <c r="M503" s="13"/>
      <c r="N503" s="13"/>
      <c r="O503" s="13"/>
      <c r="P503" s="13"/>
    </row>
    <row r="504" spans="1:16" ht="31" x14ac:dyDescent="0.35">
      <c r="A504" s="5">
        <v>503</v>
      </c>
      <c r="B504" s="6" t="s">
        <v>510</v>
      </c>
      <c r="C504" s="7">
        <v>10</v>
      </c>
      <c r="D504" s="7" t="str">
        <f>VLOOKUP(C504,'5-Genre Codes'!$A$1:$B$11,2,FALSE)</f>
        <v>Contemporary Fiction</v>
      </c>
      <c r="E504" s="8">
        <v>1997</v>
      </c>
      <c r="F504" s="6">
        <v>11245</v>
      </c>
      <c r="G504" s="6" t="str">
        <f>VLOOKUP(F504,'4-Actor Codes'!$A$1:$B$622,2,FALSE)</f>
        <v>CCH Pounder</v>
      </c>
      <c r="H504" s="8" t="s">
        <v>10</v>
      </c>
      <c r="I504" s="9">
        <v>112273211</v>
      </c>
      <c r="J504" s="10">
        <v>128923854</v>
      </c>
      <c r="L504" s="10">
        <v>80000000</v>
      </c>
      <c r="M504" s="13"/>
      <c r="N504" s="13"/>
      <c r="O504" s="13"/>
      <c r="P504" s="13"/>
    </row>
    <row r="505" spans="1:16" ht="31" x14ac:dyDescent="0.35">
      <c r="A505" s="5">
        <v>504</v>
      </c>
      <c r="B505" s="6" t="s">
        <v>511</v>
      </c>
      <c r="C505" s="7">
        <v>10</v>
      </c>
      <c r="D505" s="7" t="str">
        <f>VLOOKUP(C505,'5-Genre Codes'!$A$1:$B$11,2,FALSE)</f>
        <v>Contemporary Fiction</v>
      </c>
      <c r="E505" s="8">
        <v>2013</v>
      </c>
      <c r="F505" s="6">
        <v>10945</v>
      </c>
      <c r="G505" s="6" t="str">
        <f>VLOOKUP(F505,'4-Actor Codes'!$A$1:$B$622,2,FALSE)</f>
        <v>Bradley Cooper</v>
      </c>
      <c r="H505" s="8" t="s">
        <v>13</v>
      </c>
      <c r="I505" s="9">
        <v>112200072</v>
      </c>
      <c r="J505" s="10">
        <v>249800000</v>
      </c>
      <c r="L505" s="10">
        <v>103000000</v>
      </c>
      <c r="M505" s="13"/>
      <c r="N505" s="13"/>
      <c r="O505" s="13"/>
      <c r="P505" s="13"/>
    </row>
    <row r="506" spans="1:16" ht="31" x14ac:dyDescent="0.35">
      <c r="A506" s="5">
        <v>505</v>
      </c>
      <c r="B506" s="6" t="s">
        <v>512</v>
      </c>
      <c r="C506" s="7">
        <v>10</v>
      </c>
      <c r="D506" s="7" t="str">
        <f>VLOOKUP(C506,'5-Genre Codes'!$A$1:$B$11,2,FALSE)</f>
        <v>Contemporary Fiction</v>
      </c>
      <c r="E506" s="8">
        <v>1988</v>
      </c>
      <c r="F506" s="6">
        <v>11875</v>
      </c>
      <c r="G506" s="6" t="str">
        <f>VLOOKUP(F506,'4-Actor Codes'!$A$1:$B$622,2,FALSE)</f>
        <v>Danny De Vito</v>
      </c>
      <c r="H506" s="8" t="s">
        <v>10</v>
      </c>
      <c r="I506" s="9">
        <v>111936388</v>
      </c>
      <c r="J506" s="10">
        <v>104663612</v>
      </c>
      <c r="L506" s="10">
        <v>15000000</v>
      </c>
      <c r="M506" s="13"/>
      <c r="N506" s="13"/>
      <c r="O506" s="13"/>
      <c r="P506" s="13"/>
    </row>
    <row r="507" spans="1:16" x14ac:dyDescent="0.35">
      <c r="A507" s="5">
        <v>506</v>
      </c>
      <c r="B507" s="6" t="s">
        <v>513</v>
      </c>
      <c r="C507" s="7">
        <v>60</v>
      </c>
      <c r="D507" s="7" t="str">
        <f>VLOOKUP(C507,'5-Genre Codes'!$A$1:$B$11,2,FALSE)</f>
        <v>Kids Fiction</v>
      </c>
      <c r="E507" s="8">
        <v>2003</v>
      </c>
      <c r="F507" s="6">
        <v>11905</v>
      </c>
      <c r="G507" s="6" t="str">
        <f>VLOOKUP(F507,'4-Actor Codes'!$A$1:$B$622,2,FALSE)</f>
        <v>Daryl Sabara</v>
      </c>
      <c r="H507" s="8" t="s">
        <v>13</v>
      </c>
      <c r="I507" s="9">
        <v>111760631</v>
      </c>
      <c r="J507" s="10">
        <v>56091364</v>
      </c>
      <c r="L507" s="10">
        <v>40000000</v>
      </c>
      <c r="M507" s="13"/>
      <c r="N507" s="13"/>
      <c r="O507" s="13"/>
      <c r="P507" s="13"/>
    </row>
    <row r="508" spans="1:16" ht="31" x14ac:dyDescent="0.35">
      <c r="A508" s="5">
        <v>507</v>
      </c>
      <c r="B508" s="6" t="s">
        <v>514</v>
      </c>
      <c r="C508" s="7">
        <v>50</v>
      </c>
      <c r="D508" s="7" t="str">
        <f>VLOOKUP(C508,'5-Genre Codes'!$A$1:$B$11,2,FALSE)</f>
        <v>Historical Fiction</v>
      </c>
      <c r="E508" s="8">
        <v>1965</v>
      </c>
      <c r="F508" s="6">
        <v>18730</v>
      </c>
      <c r="G508" s="6" t="str">
        <f>VLOOKUP(F508,'4-Actor Codes'!$A$1:$B$622,2,FALSE)</f>
        <v>Tom Courtenay</v>
      </c>
      <c r="H508" s="8" t="s">
        <v>10</v>
      </c>
      <c r="I508" s="9">
        <v>111721000</v>
      </c>
      <c r="J508" s="10">
        <v>136946253</v>
      </c>
      <c r="L508" s="10">
        <v>67500000</v>
      </c>
      <c r="M508" s="13"/>
      <c r="N508" s="13"/>
      <c r="O508" s="13"/>
      <c r="P508" s="13"/>
    </row>
    <row r="509" spans="1:16" ht="31" x14ac:dyDescent="0.35">
      <c r="A509" s="5">
        <v>508</v>
      </c>
      <c r="B509" s="6" t="s">
        <v>515</v>
      </c>
      <c r="C509" s="7">
        <v>10</v>
      </c>
      <c r="D509" s="7" t="str">
        <f>VLOOKUP(C509,'5-Genre Codes'!$A$1:$B$11,2,FALSE)</f>
        <v>Contemporary Fiction</v>
      </c>
      <c r="E509" s="8">
        <v>1992</v>
      </c>
      <c r="F509" s="6">
        <v>16210</v>
      </c>
      <c r="G509" s="6" t="str">
        <f>VLOOKUP(F509,'4-Actor Codes'!$A$1:$B$622,2,FALSE)</f>
        <v>Mike Starr</v>
      </c>
      <c r="H509" s="8" t="s">
        <v>10</v>
      </c>
      <c r="I509" s="9">
        <v>111634286</v>
      </c>
      <c r="J509" s="10">
        <v>288954280</v>
      </c>
      <c r="L509" s="10">
        <v>25000000</v>
      </c>
      <c r="M509" s="13"/>
      <c r="N509" s="13"/>
      <c r="O509" s="13"/>
      <c r="P509" s="13"/>
    </row>
    <row r="510" spans="1:16" ht="31" x14ac:dyDescent="0.35">
      <c r="A510" s="5">
        <v>509</v>
      </c>
      <c r="B510" s="6" t="s">
        <v>516</v>
      </c>
      <c r="C510" s="7">
        <v>10</v>
      </c>
      <c r="D510" s="7" t="str">
        <f>VLOOKUP(C510,'5-Genre Codes'!$A$1:$B$11,2,FALSE)</f>
        <v>Contemporary Fiction</v>
      </c>
      <c r="E510" s="8">
        <v>1998</v>
      </c>
      <c r="F510" s="6">
        <v>13360</v>
      </c>
      <c r="G510" s="6" t="str">
        <f>VLOOKUP(F510,'4-Actor Codes'!$A$1:$B$622,2,FALSE)</f>
        <v>Ivana Milicevic</v>
      </c>
      <c r="H510" s="8" t="s">
        <v>10</v>
      </c>
      <c r="I510" s="9">
        <v>111544445</v>
      </c>
      <c r="J510" s="10">
        <v>139100000</v>
      </c>
      <c r="L510" s="10">
        <v>85000000</v>
      </c>
      <c r="M510" s="13"/>
      <c r="N510" s="13"/>
      <c r="O510" s="13"/>
      <c r="P510" s="13"/>
    </row>
    <row r="511" spans="1:16" x14ac:dyDescent="0.35">
      <c r="A511" s="5">
        <v>510</v>
      </c>
      <c r="B511" s="6" t="s">
        <v>517</v>
      </c>
      <c r="C511" s="7">
        <v>60</v>
      </c>
      <c r="D511" s="7" t="str">
        <f>VLOOKUP(C511,'5-Genre Codes'!$A$1:$B$11,2,FALSE)</f>
        <v>Kids Fiction</v>
      </c>
      <c r="E511" s="8">
        <v>2013</v>
      </c>
      <c r="F511" s="6">
        <v>18955</v>
      </c>
      <c r="G511" s="6" t="str">
        <f>VLOOKUP(F511,'4-Actor Codes'!$A$1:$B$622,2,FALSE)</f>
        <v>Ty Burrell</v>
      </c>
      <c r="H511" s="8" t="s">
        <v>10</v>
      </c>
      <c r="I511" s="9">
        <v>111506430</v>
      </c>
      <c r="J511" s="10">
        <v>158300000</v>
      </c>
      <c r="L511" s="10">
        <v>145000000</v>
      </c>
      <c r="M511" s="13"/>
      <c r="N511" s="13"/>
      <c r="O511" s="13"/>
      <c r="P511" s="13"/>
    </row>
    <row r="512" spans="1:16" x14ac:dyDescent="0.35">
      <c r="A512" s="5">
        <v>511</v>
      </c>
      <c r="B512" s="6" t="s">
        <v>518</v>
      </c>
      <c r="C512" s="7">
        <v>50</v>
      </c>
      <c r="D512" s="7" t="str">
        <f>VLOOKUP(C512,'5-Genre Codes'!$A$1:$B$11,2,FALSE)</f>
        <v>Historical Fiction</v>
      </c>
      <c r="E512" s="8">
        <v>2003</v>
      </c>
      <c r="F512" s="6">
        <v>18070</v>
      </c>
      <c r="G512" s="6" t="str">
        <f>VLOOKUP(F512,'4-Actor Codes'!$A$1:$B$622,2,FALSE)</f>
        <v>Shun Sugata</v>
      </c>
      <c r="H512" s="8" t="s">
        <v>10</v>
      </c>
      <c r="I512" s="9">
        <v>111110575</v>
      </c>
      <c r="J512" s="10">
        <v>345700000</v>
      </c>
      <c r="L512" s="10">
        <v>140000000</v>
      </c>
      <c r="M512" s="13"/>
      <c r="N512" s="13"/>
      <c r="O512" s="13"/>
      <c r="P512" s="13"/>
    </row>
    <row r="513" spans="1:16" ht="31" x14ac:dyDescent="0.35">
      <c r="A513" s="5">
        <v>512</v>
      </c>
      <c r="B513" s="6" t="s">
        <v>519</v>
      </c>
      <c r="C513" s="7">
        <v>10</v>
      </c>
      <c r="D513" s="7" t="str">
        <f>VLOOKUP(C513,'5-Genre Codes'!$A$1:$B$11,2,FALSE)</f>
        <v>Contemporary Fiction</v>
      </c>
      <c r="E513" s="8">
        <v>2015</v>
      </c>
      <c r="F513" s="6">
        <v>15895</v>
      </c>
      <c r="G513" s="6" t="str">
        <f>VLOOKUP(F513,'4-Actor Codes'!$A$1:$B$622,2,FALSE)</f>
        <v>Melissa McCarthy</v>
      </c>
      <c r="H513" s="8" t="s">
        <v>10</v>
      </c>
      <c r="I513" s="9">
        <v>110825712</v>
      </c>
      <c r="J513" s="10">
        <v>122300000</v>
      </c>
      <c r="L513" s="10">
        <v>65000000</v>
      </c>
      <c r="M513" s="13"/>
      <c r="N513" s="13"/>
      <c r="O513" s="13"/>
      <c r="P513" s="13"/>
    </row>
    <row r="514" spans="1:16" ht="31" x14ac:dyDescent="0.35">
      <c r="A514" s="5">
        <v>513</v>
      </c>
      <c r="B514" s="6" t="s">
        <v>520</v>
      </c>
      <c r="C514" s="7">
        <v>10</v>
      </c>
      <c r="D514" s="7" t="str">
        <f>VLOOKUP(C514,'5-Genre Codes'!$A$1:$B$11,2,FALSE)</f>
        <v>Contemporary Fiction</v>
      </c>
      <c r="E514" s="8">
        <v>1986</v>
      </c>
      <c r="F514" s="6">
        <v>17050</v>
      </c>
      <c r="G514" s="6" t="str">
        <f>VLOOKUP(F514,'4-Actor Codes'!$A$1:$B$622,2,FALSE)</f>
        <v>Ralph Macchio</v>
      </c>
      <c r="H514" s="8" t="s">
        <v>13</v>
      </c>
      <c r="I514" s="9">
        <v>110722495</v>
      </c>
      <c r="J514" s="10">
        <v>175183320</v>
      </c>
      <c r="L514" s="10">
        <v>40000000</v>
      </c>
      <c r="M514" s="13"/>
      <c r="N514" s="13"/>
      <c r="O514" s="13"/>
      <c r="P514" s="13"/>
    </row>
    <row r="515" spans="1:16" ht="31" x14ac:dyDescent="0.35">
      <c r="A515" s="5">
        <v>514</v>
      </c>
      <c r="B515" s="6" t="s">
        <v>521</v>
      </c>
      <c r="C515" s="7">
        <v>10</v>
      </c>
      <c r="D515" s="7" t="str">
        <f>VLOOKUP(C515,'5-Genre Codes'!$A$1:$B$11,2,FALSE)</f>
        <v>Contemporary Fiction</v>
      </c>
      <c r="E515" s="8">
        <v>2005</v>
      </c>
      <c r="F515" s="6">
        <v>11170</v>
      </c>
      <c r="G515" s="6" t="str">
        <f>VLOOKUP(F515,'4-Actor Codes'!$A$1:$B$622,2,FALSE)</f>
        <v>Carlos Jacott</v>
      </c>
      <c r="H515" s="8" t="s">
        <v>10</v>
      </c>
      <c r="I515" s="9">
        <v>110550000</v>
      </c>
      <c r="J515" s="10">
        <v>92468919</v>
      </c>
      <c r="L515" s="10">
        <v>140000000</v>
      </c>
      <c r="M515" s="13"/>
      <c r="N515" s="13"/>
      <c r="O515" s="13"/>
      <c r="P515" s="13"/>
    </row>
    <row r="516" spans="1:16" ht="31" x14ac:dyDescent="0.35">
      <c r="A516" s="5">
        <v>515</v>
      </c>
      <c r="B516" s="6" t="s">
        <v>522</v>
      </c>
      <c r="C516" s="7">
        <v>10</v>
      </c>
      <c r="D516" s="7" t="str">
        <f>VLOOKUP(C516,'5-Genre Codes'!$A$1:$B$11,2,FALSE)</f>
        <v>Contemporary Fiction</v>
      </c>
      <c r="E516" s="8">
        <v>2009</v>
      </c>
      <c r="F516" s="6">
        <v>12955</v>
      </c>
      <c r="G516" s="6" t="str">
        <f>VLOOKUP(F516,'4-Actor Codes'!$A$1:$B$622,2,FALSE)</f>
        <v>George Lopez</v>
      </c>
      <c r="H516" s="8" t="s">
        <v>10</v>
      </c>
      <c r="I516" s="9">
        <v>110485654</v>
      </c>
      <c r="J516" s="10">
        <v>107083674</v>
      </c>
      <c r="L516" s="10">
        <v>52000000</v>
      </c>
      <c r="M516" s="13"/>
      <c r="N516" s="13"/>
      <c r="O516" s="13"/>
      <c r="P516" s="13"/>
    </row>
    <row r="517" spans="1:16" ht="31" x14ac:dyDescent="0.35">
      <c r="A517" s="5">
        <v>516</v>
      </c>
      <c r="B517" s="6" t="s">
        <v>523</v>
      </c>
      <c r="C517" s="7">
        <v>10</v>
      </c>
      <c r="D517" s="7" t="str">
        <f>VLOOKUP(C517,'5-Genre Codes'!$A$1:$B$11,2,FALSE)</f>
        <v>Contemporary Fiction</v>
      </c>
      <c r="E517" s="8">
        <v>2008</v>
      </c>
      <c r="F517" s="6">
        <v>10660</v>
      </c>
      <c r="G517" s="6" t="str">
        <f>VLOOKUP(F517,'4-Actor Codes'!$A$1:$B$622,2,FALSE)</f>
        <v>Ben Stiller</v>
      </c>
      <c r="H517" s="8" t="s">
        <v>10</v>
      </c>
      <c r="I517" s="9">
        <v>110461307</v>
      </c>
      <c r="J517" s="10">
        <v>80629943</v>
      </c>
      <c r="L517" s="10">
        <v>90000000</v>
      </c>
      <c r="M517" s="13"/>
      <c r="N517" s="13"/>
      <c r="O517" s="13"/>
      <c r="P517" s="13"/>
    </row>
    <row r="518" spans="1:16" ht="31" x14ac:dyDescent="0.35">
      <c r="A518" s="5">
        <v>517</v>
      </c>
      <c r="B518" s="6" t="s">
        <v>524</v>
      </c>
      <c r="C518" s="7">
        <v>10</v>
      </c>
      <c r="D518" s="7" t="str">
        <f>VLOOKUP(C518,'5-Genre Codes'!$A$1:$B$11,2,FALSE)</f>
        <v>Contemporary Fiction</v>
      </c>
      <c r="E518" s="8">
        <v>2003</v>
      </c>
      <c r="F518" s="6">
        <v>15475</v>
      </c>
      <c r="G518" s="6" t="str">
        <f>VLOOKUP(F518,'4-Actor Codes'!$A$1:$B$622,2,FALSE)</f>
        <v>Marc McClure</v>
      </c>
      <c r="H518" s="8" t="s">
        <v>10</v>
      </c>
      <c r="I518" s="9">
        <v>110222438</v>
      </c>
      <c r="J518" s="10">
        <v>50600000</v>
      </c>
      <c r="L518" s="10">
        <v>26000000</v>
      </c>
      <c r="M518" s="13"/>
      <c r="N518" s="13"/>
      <c r="O518" s="13"/>
      <c r="P518" s="13"/>
    </row>
    <row r="519" spans="1:16" ht="31" x14ac:dyDescent="0.35">
      <c r="A519" s="5">
        <v>518</v>
      </c>
      <c r="B519" s="6" t="s">
        <v>525</v>
      </c>
      <c r="C519" s="7">
        <v>40</v>
      </c>
      <c r="D519" s="7" t="str">
        <f>VLOOKUP(C519,'5-Genre Codes'!$A$1:$B$11,2,FALSE)</f>
        <v>Fantasy</v>
      </c>
      <c r="E519" s="8">
        <v>2004</v>
      </c>
      <c r="F519" s="6">
        <v>13015</v>
      </c>
      <c r="G519" s="6" t="str">
        <f>VLOOKUP(F519,'4-Actor Codes'!$A$1:$B$622,2,FALSE)</f>
        <v>Grace Zabriskie</v>
      </c>
      <c r="H519" s="8" t="s">
        <v>10</v>
      </c>
      <c r="I519" s="9">
        <v>110175871</v>
      </c>
      <c r="J519" s="10">
        <v>76921753</v>
      </c>
      <c r="L519" s="10">
        <v>10000000</v>
      </c>
      <c r="M519" s="13"/>
      <c r="N519" s="13"/>
      <c r="O519" s="13"/>
      <c r="P519" s="13"/>
    </row>
    <row r="520" spans="1:16" ht="31" x14ac:dyDescent="0.35">
      <c r="A520" s="5">
        <v>519</v>
      </c>
      <c r="B520" s="6" t="s">
        <v>526</v>
      </c>
      <c r="C520" s="7">
        <v>40</v>
      </c>
      <c r="D520" s="7" t="str">
        <f>VLOOKUP(C520,'5-Genre Codes'!$A$1:$B$11,2,FALSE)</f>
        <v>Fantasy</v>
      </c>
      <c r="E520" s="8">
        <v>2008</v>
      </c>
      <c r="F520" s="6">
        <v>18550</v>
      </c>
      <c r="G520" s="6" t="str">
        <f>VLOOKUP(F520,'4-Actor Codes'!$A$1:$B$622,2,FALSE)</f>
        <v>Thomas Hoffman</v>
      </c>
      <c r="H520" s="8" t="s">
        <v>10</v>
      </c>
      <c r="I520" s="9">
        <v>110101975</v>
      </c>
      <c r="J520" s="10">
        <v>111366960</v>
      </c>
      <c r="L520" s="10">
        <v>80000000</v>
      </c>
      <c r="M520" s="13"/>
      <c r="N520" s="13"/>
      <c r="O520" s="13"/>
      <c r="P520" s="13"/>
    </row>
    <row r="521" spans="1:16" ht="31" x14ac:dyDescent="0.35">
      <c r="A521" s="5">
        <v>520</v>
      </c>
      <c r="B521" s="6" t="s">
        <v>527</v>
      </c>
      <c r="C521" s="7">
        <v>10</v>
      </c>
      <c r="D521" s="7" t="str">
        <f>VLOOKUP(C521,'5-Genre Codes'!$A$1:$B$11,2,FALSE)</f>
        <v>Contemporary Fiction</v>
      </c>
      <c r="E521" s="8">
        <v>2015</v>
      </c>
      <c r="F521" s="6">
        <v>17350</v>
      </c>
      <c r="G521" s="6" t="str">
        <f>VLOOKUP(F521,'4-Actor Codes'!$A$1:$B$622,2,FALSE)</f>
        <v>Robert E. Torres</v>
      </c>
      <c r="H521" s="8" t="s">
        <v>10</v>
      </c>
      <c r="I521" s="9">
        <v>110038130</v>
      </c>
      <c r="J521" s="10">
        <v>29075506</v>
      </c>
      <c r="L521" s="10">
        <v>35000000</v>
      </c>
      <c r="M521" s="13"/>
      <c r="N521" s="13"/>
      <c r="O521" s="13"/>
      <c r="P521" s="13"/>
    </row>
    <row r="522" spans="1:16" ht="31" x14ac:dyDescent="0.35">
      <c r="A522" s="5">
        <v>521</v>
      </c>
      <c r="B522" s="6" t="s">
        <v>528</v>
      </c>
      <c r="C522" s="7">
        <v>80</v>
      </c>
      <c r="D522" s="7" t="str">
        <f>VLOOKUP(C522,'5-Genre Codes'!$A$1:$B$11,2,FALSE)</f>
        <v>Science Fiction</v>
      </c>
      <c r="E522" s="8">
        <v>1989</v>
      </c>
      <c r="F522" s="6">
        <v>11770</v>
      </c>
      <c r="G522" s="6" t="str">
        <f>VLOOKUP(F522,'4-Actor Codes'!$A$1:$B$622,2,FALSE)</f>
        <v>Dan Aykroyd</v>
      </c>
      <c r="H522" s="8" t="s">
        <v>13</v>
      </c>
      <c r="I522" s="9">
        <v>110000794</v>
      </c>
      <c r="J522" s="10">
        <v>103005262</v>
      </c>
      <c r="L522" s="10">
        <v>0</v>
      </c>
      <c r="M522" s="13"/>
      <c r="N522" s="13"/>
      <c r="O522" s="13"/>
      <c r="P522" s="13"/>
    </row>
    <row r="523" spans="1:16" ht="31" x14ac:dyDescent="0.35">
      <c r="A523" s="5">
        <v>522</v>
      </c>
      <c r="B523" s="6" t="s">
        <v>529</v>
      </c>
      <c r="C523" s="7">
        <v>10</v>
      </c>
      <c r="D523" s="7" t="str">
        <f>VLOOKUP(C523,'5-Genre Codes'!$A$1:$B$11,2,FALSE)</f>
        <v>Contemporary Fiction</v>
      </c>
      <c r="E523" s="8">
        <v>2003</v>
      </c>
      <c r="F523" s="6">
        <v>10375</v>
      </c>
      <c r="G523" s="6" t="str">
        <f>VLOOKUP(F523,'4-Actor Codes'!$A$1:$B$622,2,FALSE)</f>
        <v>Anna Faris</v>
      </c>
      <c r="H523" s="8" t="s">
        <v>13</v>
      </c>
      <c r="I523" s="9">
        <v>110000082</v>
      </c>
      <c r="J523" s="10">
        <v>45199918</v>
      </c>
      <c r="L523" s="10">
        <v>45000000</v>
      </c>
      <c r="M523" s="13"/>
      <c r="N523" s="13"/>
      <c r="O523" s="13"/>
      <c r="P523" s="13"/>
    </row>
    <row r="524" spans="1:16" ht="31" x14ac:dyDescent="0.35">
      <c r="A524" s="5">
        <v>523</v>
      </c>
      <c r="B524" s="6" t="s">
        <v>530</v>
      </c>
      <c r="C524" s="7">
        <v>60</v>
      </c>
      <c r="D524" s="7" t="str">
        <f>VLOOKUP(C524,'5-Genre Codes'!$A$1:$B$11,2,FALSE)</f>
        <v>Kids Fiction</v>
      </c>
      <c r="E524" s="8">
        <v>1991</v>
      </c>
      <c r="F524" s="6">
        <v>11185</v>
      </c>
      <c r="G524" s="6" t="str">
        <f>VLOOKUP(F524,'4-Actor Codes'!$A$1:$B$622,2,FALSE)</f>
        <v>Caroline Goodall</v>
      </c>
      <c r="H524" s="8" t="s">
        <v>10</v>
      </c>
      <c r="I524" s="9">
        <v>109921554</v>
      </c>
      <c r="J524" s="10">
        <v>181200000</v>
      </c>
      <c r="L524" s="10">
        <v>70000000</v>
      </c>
      <c r="M524" s="13"/>
      <c r="N524" s="13"/>
      <c r="O524" s="13"/>
      <c r="P524" s="13"/>
    </row>
    <row r="525" spans="1:16" x14ac:dyDescent="0.35">
      <c r="A525" s="5">
        <v>524</v>
      </c>
      <c r="B525" s="6" t="s">
        <v>531</v>
      </c>
      <c r="C525" s="7">
        <v>60</v>
      </c>
      <c r="D525" s="7" t="str">
        <f>VLOOKUP(C525,'5-Genre Codes'!$A$1:$B$11,2,FALSE)</f>
        <v>Kids Fiction</v>
      </c>
      <c r="E525" s="8">
        <v>1989</v>
      </c>
      <c r="F525" s="6">
        <v>15550</v>
      </c>
      <c r="G525" s="6" t="str">
        <f>VLOOKUP(F525,'4-Actor Codes'!$A$1:$B$622,2,FALSE)</f>
        <v>Mark Hamill</v>
      </c>
      <c r="H525" s="8" t="s">
        <v>10</v>
      </c>
      <c r="I525" s="9">
        <v>109859444</v>
      </c>
      <c r="J525" s="10">
        <v>110756521</v>
      </c>
      <c r="L525" s="10">
        <v>0</v>
      </c>
      <c r="M525" s="13"/>
      <c r="N525" s="13"/>
      <c r="O525" s="13"/>
      <c r="P525" s="13"/>
    </row>
    <row r="526" spans="1:16" ht="31" x14ac:dyDescent="0.35">
      <c r="A526" s="5">
        <v>525</v>
      </c>
      <c r="B526" s="6" t="s">
        <v>532</v>
      </c>
      <c r="C526" s="7">
        <v>10</v>
      </c>
      <c r="D526" s="7" t="str">
        <f>VLOOKUP(C526,'5-Genre Codes'!$A$1:$B$11,2,FALSE)</f>
        <v>Contemporary Fiction</v>
      </c>
      <c r="E526" s="8">
        <v>1988</v>
      </c>
      <c r="F526" s="6">
        <v>18190</v>
      </c>
      <c r="G526" s="6" t="str">
        <f>VLOOKUP(F526,'4-Actor Codes'!$A$1:$B$622,2,FALSE)</f>
        <v>Stephen Root</v>
      </c>
      <c r="H526" s="8" t="s">
        <v>13</v>
      </c>
      <c r="I526" s="9">
        <v>109306210</v>
      </c>
      <c r="J526" s="10">
        <v>130300000</v>
      </c>
      <c r="L526" s="10">
        <v>14000000</v>
      </c>
      <c r="M526" s="13"/>
      <c r="N526" s="13"/>
      <c r="O526" s="13"/>
      <c r="P526" s="13"/>
    </row>
    <row r="527" spans="1:16" ht="31" x14ac:dyDescent="0.35">
      <c r="A527" s="5">
        <v>526</v>
      </c>
      <c r="B527" s="6" t="s">
        <v>533</v>
      </c>
      <c r="C527" s="7">
        <v>10</v>
      </c>
      <c r="D527" s="7" t="str">
        <f>VLOOKUP(C527,'5-Genre Codes'!$A$1:$B$11,2,FALSE)</f>
        <v>Contemporary Fiction</v>
      </c>
      <c r="E527" s="8">
        <v>2005</v>
      </c>
      <c r="F527" s="6">
        <v>14890</v>
      </c>
      <c r="G527" s="6" t="str">
        <f>VLOOKUP(F527,'4-Actor Codes'!$A$1:$B$622,2,FALSE)</f>
        <v>Kevin Hart</v>
      </c>
      <c r="H527" s="8" t="s">
        <v>10</v>
      </c>
      <c r="I527" s="9">
        <v>109243478</v>
      </c>
      <c r="J527" s="10">
        <v>67894993</v>
      </c>
      <c r="L527" s="10">
        <v>26000000</v>
      </c>
      <c r="M527" s="13"/>
      <c r="N527" s="13"/>
      <c r="O527" s="13"/>
      <c r="P527" s="13"/>
    </row>
    <row r="528" spans="1:16" ht="31" x14ac:dyDescent="0.35">
      <c r="A528" s="5">
        <v>527</v>
      </c>
      <c r="B528" s="6" t="s">
        <v>534</v>
      </c>
      <c r="C528" s="7">
        <v>10</v>
      </c>
      <c r="D528" s="7" t="str">
        <f>VLOOKUP(C528,'5-Genre Codes'!$A$1:$B$11,2,FALSE)</f>
        <v>Contemporary Fiction</v>
      </c>
      <c r="E528" s="8">
        <v>2009</v>
      </c>
      <c r="F528" s="6">
        <v>11620</v>
      </c>
      <c r="G528" s="6" t="str">
        <f>VLOOKUP(F528,'4-Actor Codes'!$A$1:$B$622,2,FALSE)</f>
        <v>Colin Baiocchhi</v>
      </c>
      <c r="H528" s="8" t="s">
        <v>10</v>
      </c>
      <c r="I528" s="9">
        <v>109205660</v>
      </c>
      <c r="J528" s="10">
        <v>63244763</v>
      </c>
      <c r="L528" s="10">
        <v>60000000</v>
      </c>
      <c r="M528" s="13"/>
      <c r="N528" s="13"/>
      <c r="O528" s="13"/>
      <c r="P528" s="13"/>
    </row>
    <row r="529" spans="1:16" ht="31" x14ac:dyDescent="0.35">
      <c r="A529" s="5">
        <v>528</v>
      </c>
      <c r="B529" s="6" t="s">
        <v>535</v>
      </c>
      <c r="C529" s="7">
        <v>80</v>
      </c>
      <c r="D529" s="7" t="str">
        <f>VLOOKUP(C529,'5-Genre Codes'!$A$1:$B$11,2,FALSE)</f>
        <v>Science Fiction</v>
      </c>
      <c r="E529" s="8">
        <v>1989</v>
      </c>
      <c r="F529" s="6">
        <v>11215</v>
      </c>
      <c r="G529" s="6" t="str">
        <f>VLOOKUP(F529,'4-Actor Codes'!$A$1:$B$622,2,FALSE)</f>
        <v>Casey Siemaszko</v>
      </c>
      <c r="H529" s="8" t="s">
        <v>13</v>
      </c>
      <c r="I529" s="9">
        <v>109116271</v>
      </c>
      <c r="J529" s="10">
        <v>213549998</v>
      </c>
      <c r="L529" s="10">
        <v>40000000</v>
      </c>
      <c r="M529" s="13"/>
      <c r="N529" s="13"/>
      <c r="O529" s="13"/>
      <c r="P529" s="13"/>
    </row>
    <row r="530" spans="1:16" ht="31" x14ac:dyDescent="0.35">
      <c r="A530" s="5">
        <v>529</v>
      </c>
      <c r="B530" s="6" t="s">
        <v>536</v>
      </c>
      <c r="C530" s="7">
        <v>10</v>
      </c>
      <c r="D530" s="7" t="str">
        <f>VLOOKUP(C530,'5-Genre Codes'!$A$1:$B$11,2,FALSE)</f>
        <v>Contemporary Fiction</v>
      </c>
      <c r="E530" s="8">
        <v>1975</v>
      </c>
      <c r="F530" s="6">
        <v>11485</v>
      </c>
      <c r="G530" s="6" t="str">
        <f>VLOOKUP(F530,'4-Actor Codes'!$A$1:$B$622,2,FALSE)</f>
        <v>Christopher Lloyd</v>
      </c>
      <c r="H530" s="8" t="s">
        <v>10</v>
      </c>
      <c r="I530" s="9">
        <v>108981275</v>
      </c>
      <c r="J530" s="10">
        <v>51634572</v>
      </c>
      <c r="K530" s="11" t="s">
        <v>1010</v>
      </c>
      <c r="L530" s="10">
        <v>70000000</v>
      </c>
      <c r="M530" s="13"/>
      <c r="N530" s="13"/>
      <c r="O530" s="13"/>
      <c r="P530" s="13"/>
    </row>
    <row r="531" spans="1:16" ht="31" x14ac:dyDescent="0.35">
      <c r="A531" s="5">
        <v>530</v>
      </c>
      <c r="B531" s="6" t="s">
        <v>537</v>
      </c>
      <c r="C531" s="7">
        <v>10</v>
      </c>
      <c r="D531" s="7" t="str">
        <f>VLOOKUP(C531,'5-Genre Codes'!$A$1:$B$11,2,FALSE)</f>
        <v>Contemporary Fiction</v>
      </c>
      <c r="E531" s="8">
        <v>1996</v>
      </c>
      <c r="F531" s="6">
        <v>17755</v>
      </c>
      <c r="G531" s="6" t="str">
        <f>VLOOKUP(F531,'4-Actor Codes'!$A$1:$B$622,2,FALSE)</f>
        <v>Samuel L. Jackson</v>
      </c>
      <c r="H531" s="8" t="s">
        <v>10</v>
      </c>
      <c r="I531" s="9">
        <v>108706165</v>
      </c>
      <c r="J531" s="10">
        <v>43500000</v>
      </c>
      <c r="L531" s="10">
        <v>40000000</v>
      </c>
      <c r="M531" s="13"/>
      <c r="N531" s="13"/>
      <c r="O531" s="13"/>
      <c r="P531" s="13"/>
    </row>
    <row r="532" spans="1:16" x14ac:dyDescent="0.35">
      <c r="A532" s="5">
        <v>531</v>
      </c>
      <c r="B532" s="6" t="s">
        <v>538</v>
      </c>
      <c r="C532" s="7">
        <v>20</v>
      </c>
      <c r="D532" s="7" t="str">
        <f>VLOOKUP(C532,'5-Genre Codes'!$A$1:$B$11,2,FALSE)</f>
        <v>Dramatization</v>
      </c>
      <c r="E532" s="8">
        <v>2001</v>
      </c>
      <c r="F532" s="6">
        <v>18955</v>
      </c>
      <c r="G532" s="6" t="str">
        <f>VLOOKUP(F532,'4-Actor Codes'!$A$1:$B$622,2,FALSE)</f>
        <v>Ty Burrell</v>
      </c>
      <c r="H532" s="8" t="s">
        <v>10</v>
      </c>
      <c r="I532" s="9">
        <v>108638745</v>
      </c>
      <c r="J532" s="10">
        <v>51052340</v>
      </c>
      <c r="L532" s="10">
        <v>95000000</v>
      </c>
      <c r="M532" s="13"/>
      <c r="N532" s="13"/>
      <c r="O532" s="13"/>
      <c r="P532" s="13"/>
    </row>
    <row r="533" spans="1:16" ht="31" x14ac:dyDescent="0.35">
      <c r="A533" s="5">
        <v>532</v>
      </c>
      <c r="B533" s="6" t="s">
        <v>539</v>
      </c>
      <c r="C533" s="7">
        <v>80</v>
      </c>
      <c r="D533" s="7" t="str">
        <f>VLOOKUP(C533,'5-Genre Codes'!$A$1:$B$11,2,FALSE)</f>
        <v>Science Fiction</v>
      </c>
      <c r="E533" s="8">
        <v>1990</v>
      </c>
      <c r="F533" s="6">
        <v>17980</v>
      </c>
      <c r="G533" s="6" t="str">
        <f>VLOOKUP(F533,'4-Actor Codes'!$A$1:$B$622,2,FALSE)</f>
        <v>Sharon Stone</v>
      </c>
      <c r="H533" s="8" t="s">
        <v>10</v>
      </c>
      <c r="I533" s="9">
        <v>108580729</v>
      </c>
      <c r="J533" s="10">
        <v>152978119</v>
      </c>
      <c r="L533" s="10">
        <v>125000000</v>
      </c>
      <c r="M533" s="13"/>
      <c r="N533" s="13"/>
      <c r="O533" s="13"/>
      <c r="P533" s="13"/>
    </row>
    <row r="534" spans="1:16" ht="46.5" x14ac:dyDescent="0.35">
      <c r="A534" s="5">
        <v>533</v>
      </c>
      <c r="B534" s="6" t="s">
        <v>540</v>
      </c>
      <c r="C534" s="7">
        <v>10</v>
      </c>
      <c r="D534" s="7" t="str">
        <f>VLOOKUP(C534,'5-Genre Codes'!$A$1:$B$11,2,FALSE)</f>
        <v>Contemporary Fiction</v>
      </c>
      <c r="E534" s="8">
        <v>1995</v>
      </c>
      <c r="F534" s="6">
        <v>10030</v>
      </c>
      <c r="G534" s="6" t="str">
        <f>VLOOKUP(F534,'4-Actor Codes'!$A$1:$B$622,2,FALSE)</f>
        <v>Adewale Akinnuoye-Agbaje</v>
      </c>
      <c r="H534" s="8" t="s">
        <v>13</v>
      </c>
      <c r="I534" s="9">
        <v>108344348</v>
      </c>
      <c r="J534" s="10">
        <v>104039937</v>
      </c>
      <c r="L534" s="10">
        <v>30000000</v>
      </c>
      <c r="M534" s="13"/>
      <c r="N534" s="13"/>
      <c r="O534" s="13"/>
      <c r="P534" s="13"/>
    </row>
    <row r="535" spans="1:16" ht="31" x14ac:dyDescent="0.35">
      <c r="A535" s="5">
        <v>534</v>
      </c>
      <c r="B535" s="6" t="s">
        <v>541</v>
      </c>
      <c r="C535" s="7">
        <v>10</v>
      </c>
      <c r="D535" s="7" t="str">
        <f>VLOOKUP(C535,'5-Genre Codes'!$A$1:$B$11,2,FALSE)</f>
        <v>Contemporary Fiction</v>
      </c>
      <c r="E535" s="8">
        <v>2001</v>
      </c>
      <c r="F535" s="6">
        <v>14560</v>
      </c>
      <c r="G535" s="6" t="str">
        <f>VLOOKUP(F535,'4-Actor Codes'!$A$1:$B$622,2,FALSE)</f>
        <v>Julie Andrews</v>
      </c>
      <c r="H535" s="8" t="s">
        <v>10</v>
      </c>
      <c r="I535" s="9">
        <v>108244774</v>
      </c>
      <c r="J535" s="10">
        <v>57090000</v>
      </c>
      <c r="L535" s="10">
        <v>30000000</v>
      </c>
      <c r="M535" s="13"/>
      <c r="N535" s="13"/>
      <c r="O535" s="13"/>
      <c r="P535" s="13"/>
    </row>
    <row r="536" spans="1:16" ht="31" x14ac:dyDescent="0.35">
      <c r="A536" s="5">
        <v>535</v>
      </c>
      <c r="B536" s="6" t="s">
        <v>542</v>
      </c>
      <c r="C536" s="7">
        <v>60</v>
      </c>
      <c r="D536" s="7" t="str">
        <f>VLOOKUP(C536,'5-Genre Codes'!$A$1:$B$11,2,FALSE)</f>
        <v>Kids Fiction</v>
      </c>
      <c r="E536" s="8">
        <v>2011</v>
      </c>
      <c r="F536" s="6">
        <v>13645</v>
      </c>
      <c r="G536" s="6" t="str">
        <f>VLOOKUP(F536,'4-Actor Codes'!$A$1:$B$622,2,FALSE)</f>
        <v>James Marsden</v>
      </c>
      <c r="H536" s="8" t="s">
        <v>10</v>
      </c>
      <c r="I536" s="9">
        <v>108085305</v>
      </c>
      <c r="J536" s="10">
        <v>80572288</v>
      </c>
      <c r="L536" s="10">
        <v>63000000</v>
      </c>
      <c r="M536" s="13"/>
      <c r="N536" s="13"/>
      <c r="O536" s="13"/>
      <c r="P536" s="13"/>
    </row>
    <row r="537" spans="1:16" ht="31" x14ac:dyDescent="0.35">
      <c r="A537" s="5">
        <v>536</v>
      </c>
      <c r="B537" s="6" t="s">
        <v>543</v>
      </c>
      <c r="C537" s="7">
        <v>40</v>
      </c>
      <c r="D537" s="7" t="str">
        <f>VLOOKUP(C537,'5-Genre Codes'!$A$1:$B$11,2,FALSE)</f>
        <v>Fantasy</v>
      </c>
      <c r="E537" s="8">
        <v>2009</v>
      </c>
      <c r="F537" s="6">
        <v>15535</v>
      </c>
      <c r="G537" s="6" t="str">
        <f>VLOOKUP(F537,'4-Actor Codes'!$A$1:$B$622,2,FALSE)</f>
        <v>Mark Fredrichs</v>
      </c>
      <c r="H537" s="8" t="s">
        <v>10</v>
      </c>
      <c r="I537" s="9">
        <v>107918810</v>
      </c>
      <c r="J537" s="10">
        <v>86264224</v>
      </c>
      <c r="L537" s="10">
        <v>450000</v>
      </c>
      <c r="M537" s="13"/>
      <c r="N537" s="13"/>
      <c r="O537" s="13"/>
      <c r="P537" s="13"/>
    </row>
    <row r="538" spans="1:16" ht="31" x14ac:dyDescent="0.35">
      <c r="A538" s="5">
        <v>537</v>
      </c>
      <c r="B538" s="6" t="s">
        <v>544</v>
      </c>
      <c r="C538" s="7">
        <v>10</v>
      </c>
      <c r="D538" s="7" t="str">
        <f>VLOOKUP(C538,'5-Genre Codes'!$A$1:$B$11,2,FALSE)</f>
        <v>Contemporary Fiction</v>
      </c>
      <c r="E538" s="8">
        <v>1994</v>
      </c>
      <c r="F538" s="6">
        <v>18625</v>
      </c>
      <c r="G538" s="6" t="str">
        <f>VLOOKUP(F538,'4-Actor Codes'!$A$1:$B$622,2,FALSE)</f>
        <v>Tim Roth</v>
      </c>
      <c r="H538" s="8" t="s">
        <v>10</v>
      </c>
      <c r="I538" s="9">
        <v>107886108</v>
      </c>
      <c r="J538" s="10">
        <v>105000000</v>
      </c>
      <c r="L538" s="10">
        <v>8000000</v>
      </c>
      <c r="M538" s="13"/>
      <c r="N538" s="13"/>
      <c r="O538" s="13"/>
      <c r="P538" s="13"/>
    </row>
    <row r="539" spans="1:16" ht="31" x14ac:dyDescent="0.35">
      <c r="A539" s="5">
        <v>538</v>
      </c>
      <c r="B539" s="6" t="s">
        <v>545</v>
      </c>
      <c r="C539" s="7">
        <v>60</v>
      </c>
      <c r="D539" s="7" t="str">
        <f>VLOOKUP(C539,'5-Genre Codes'!$A$1:$B$11,2,FALSE)</f>
        <v>Kids Fiction</v>
      </c>
      <c r="E539" s="8">
        <v>2013</v>
      </c>
      <c r="F539" s="6">
        <v>10735</v>
      </c>
      <c r="G539" s="6" t="str">
        <f>VLOOKUP(F539,'4-Actor Codes'!$A$1:$B$622,2,FALSE)</f>
        <v>Beyonce Knowles</v>
      </c>
      <c r="H539" s="8" t="s">
        <v>10</v>
      </c>
      <c r="I539" s="9">
        <v>107518682</v>
      </c>
      <c r="J539" s="10">
        <v>155275759</v>
      </c>
      <c r="L539" s="10">
        <v>100000000</v>
      </c>
      <c r="M539" s="13"/>
      <c r="N539" s="13"/>
      <c r="O539" s="13"/>
      <c r="P539" s="13"/>
    </row>
    <row r="540" spans="1:16" ht="31" x14ac:dyDescent="0.35">
      <c r="A540" s="5">
        <v>539</v>
      </c>
      <c r="B540" s="6" t="s">
        <v>546</v>
      </c>
      <c r="C540" s="7">
        <v>90</v>
      </c>
      <c r="D540" s="7" t="str">
        <f>VLOOKUP(C540,'5-Genre Codes'!$A$1:$B$11,2,FALSE)</f>
        <v>Super Hero</v>
      </c>
      <c r="E540" s="8">
        <v>2009</v>
      </c>
      <c r="F540" s="6">
        <v>15775</v>
      </c>
      <c r="G540" s="6" t="str">
        <f>VLOOKUP(F540,'4-Actor Codes'!$A$1:$B$622,2,FALSE)</f>
        <v>Matthew Goode</v>
      </c>
      <c r="H540" s="8" t="s">
        <v>10</v>
      </c>
      <c r="I540" s="9">
        <v>107509799</v>
      </c>
      <c r="J540" s="10">
        <v>76558558</v>
      </c>
      <c r="L540" s="10">
        <v>138000000</v>
      </c>
      <c r="M540" s="13"/>
      <c r="N540" s="13"/>
      <c r="O540" s="13"/>
      <c r="P540" s="13"/>
    </row>
    <row r="541" spans="1:16" x14ac:dyDescent="0.35">
      <c r="A541" s="5">
        <v>540</v>
      </c>
      <c r="B541" s="6" t="s">
        <v>547</v>
      </c>
      <c r="C541" s="7">
        <v>50</v>
      </c>
      <c r="D541" s="7" t="str">
        <f>VLOOKUP(C541,'5-Genre Codes'!$A$1:$B$11,2,FALSE)</f>
        <v>Historical Fiction</v>
      </c>
      <c r="E541" s="8">
        <v>1992</v>
      </c>
      <c r="F541" s="6">
        <v>12280</v>
      </c>
      <c r="G541" s="6" t="str">
        <f>VLOOKUP(F541,'4-Actor Codes'!$A$1:$B$622,2,FALSE)</f>
        <v>Don S. Davis</v>
      </c>
      <c r="H541" s="8" t="s">
        <v>10</v>
      </c>
      <c r="I541" s="9">
        <v>107404544</v>
      </c>
      <c r="J541" s="10">
        <v>24906141</v>
      </c>
      <c r="L541" s="10">
        <v>40000000</v>
      </c>
      <c r="M541" s="13"/>
      <c r="N541" s="13"/>
      <c r="O541" s="13"/>
      <c r="P541" s="13"/>
    </row>
    <row r="542" spans="1:16" ht="31" x14ac:dyDescent="0.35">
      <c r="A542" s="5">
        <v>541</v>
      </c>
      <c r="B542" s="6" t="s">
        <v>548</v>
      </c>
      <c r="C542" s="7">
        <v>90</v>
      </c>
      <c r="D542" s="7" t="str">
        <f>VLOOKUP(C542,'5-Genre Codes'!$A$1:$B$11,2,FALSE)</f>
        <v>Super Hero</v>
      </c>
      <c r="E542" s="8">
        <v>1997</v>
      </c>
      <c r="F542" s="6">
        <v>14935</v>
      </c>
      <c r="G542" s="6" t="str">
        <f>VLOOKUP(F542,'4-Actor Codes'!$A$1:$B$622,2,FALSE)</f>
        <v>Kimberly Scott</v>
      </c>
      <c r="H542" s="8" t="s">
        <v>13</v>
      </c>
      <c r="I542" s="9">
        <v>107308328</v>
      </c>
      <c r="J542" s="10">
        <v>130992619</v>
      </c>
      <c r="L542" s="10">
        <v>125000000</v>
      </c>
      <c r="M542" s="13"/>
      <c r="N542" s="13"/>
      <c r="O542" s="13"/>
      <c r="P542" s="13"/>
    </row>
    <row r="543" spans="1:16" x14ac:dyDescent="0.35">
      <c r="A543" s="5">
        <v>542</v>
      </c>
      <c r="B543" s="6" t="s">
        <v>549</v>
      </c>
      <c r="C543" s="7">
        <v>20</v>
      </c>
      <c r="D543" s="7" t="str">
        <f>VLOOKUP(C543,'5-Genre Codes'!$A$1:$B$11,2,FALSE)</f>
        <v>Dramatization</v>
      </c>
      <c r="E543" s="8">
        <v>2013</v>
      </c>
      <c r="F543" s="6">
        <v>18760</v>
      </c>
      <c r="G543" s="6" t="str">
        <f>VLOOKUP(F543,'4-Actor Codes'!$A$1:$B$622,2,FALSE)</f>
        <v>Tom Hanks</v>
      </c>
      <c r="H543" s="8" t="s">
        <v>10</v>
      </c>
      <c r="I543" s="9">
        <v>107136417</v>
      </c>
      <c r="J543" s="10">
        <v>113511767</v>
      </c>
      <c r="L543" s="10">
        <v>55000000</v>
      </c>
      <c r="M543" s="13"/>
      <c r="N543" s="13"/>
      <c r="O543" s="13"/>
      <c r="P543" s="13"/>
    </row>
    <row r="544" spans="1:16" ht="31" x14ac:dyDescent="0.35">
      <c r="A544" s="5">
        <v>543</v>
      </c>
      <c r="B544" s="6" t="s">
        <v>550</v>
      </c>
      <c r="C544" s="7">
        <v>80</v>
      </c>
      <c r="D544" s="7" t="str">
        <f>VLOOKUP(C544,'5-Genre Codes'!$A$1:$B$11,2,FALSE)</f>
        <v>Science Fiction</v>
      </c>
      <c r="E544" s="8">
        <v>1986</v>
      </c>
      <c r="F544" s="6">
        <v>19225</v>
      </c>
      <c r="G544" s="6" t="str">
        <f>VLOOKUP(F544,'4-Actor Codes'!$A$1:$B$622,2,FALSE)</f>
        <v>William Shatner</v>
      </c>
      <c r="H544" s="8" t="s">
        <v>13</v>
      </c>
      <c r="I544" s="9">
        <v>107109310</v>
      </c>
      <c r="J544" s="10">
        <v>238200000</v>
      </c>
      <c r="L544" s="10">
        <v>190000000</v>
      </c>
      <c r="M544" s="13"/>
      <c r="N544" s="13"/>
      <c r="O544" s="13"/>
      <c r="P544" s="13"/>
    </row>
    <row r="545" spans="1:16" ht="31" x14ac:dyDescent="0.35">
      <c r="A545" s="5">
        <v>544</v>
      </c>
      <c r="B545" s="6" t="s">
        <v>551</v>
      </c>
      <c r="C545" s="7">
        <v>10</v>
      </c>
      <c r="D545" s="7" t="str">
        <f>VLOOKUP(C545,'5-Genre Codes'!$A$1:$B$11,2,FALSE)</f>
        <v>Contemporary Fiction</v>
      </c>
      <c r="E545" s="8">
        <v>2010</v>
      </c>
      <c r="F545" s="6">
        <v>16390</v>
      </c>
      <c r="G545" s="6" t="str">
        <f>VLOOKUP(F545,'4-Actor Codes'!$A$1:$B$622,2,FALSE)</f>
        <v>Natalie Portman</v>
      </c>
      <c r="H545" s="8" t="s">
        <v>10</v>
      </c>
      <c r="I545" s="9">
        <v>106954678</v>
      </c>
      <c r="J545" s="10">
        <v>224312032</v>
      </c>
      <c r="L545" s="10">
        <v>13000000</v>
      </c>
      <c r="M545" s="13"/>
      <c r="N545" s="13"/>
      <c r="O545" s="13"/>
      <c r="P545" s="13"/>
    </row>
    <row r="546" spans="1:16" ht="31" x14ac:dyDescent="0.35">
      <c r="A546" s="5">
        <v>545</v>
      </c>
      <c r="B546" s="6" t="s">
        <v>552</v>
      </c>
      <c r="C546" s="7">
        <v>10</v>
      </c>
      <c r="D546" s="7" t="str">
        <f>VLOOKUP(C546,'5-Genre Codes'!$A$1:$B$11,2,FALSE)</f>
        <v>Contemporary Fiction</v>
      </c>
      <c r="E546" s="8">
        <v>1999</v>
      </c>
      <c r="F546" s="6">
        <v>18895</v>
      </c>
      <c r="G546" s="6" t="str">
        <f>VLOOKUP(F546,'4-Actor Codes'!$A$1:$B$622,2,FALSE)</f>
        <v>Tony Darrow</v>
      </c>
      <c r="H546" s="8" t="s">
        <v>10</v>
      </c>
      <c r="I546" s="9">
        <v>106823373</v>
      </c>
      <c r="J546" s="10">
        <v>70000000</v>
      </c>
      <c r="L546" s="10">
        <v>30000000</v>
      </c>
      <c r="M546" s="13"/>
      <c r="N546" s="13"/>
      <c r="O546" s="13"/>
      <c r="P546" s="13"/>
    </row>
    <row r="547" spans="1:16" ht="31" x14ac:dyDescent="0.35">
      <c r="A547" s="5">
        <v>546</v>
      </c>
      <c r="B547" s="6" t="s">
        <v>553</v>
      </c>
      <c r="C547" s="7">
        <v>10</v>
      </c>
      <c r="D547" s="7" t="str">
        <f>VLOOKUP(C547,'5-Genre Codes'!$A$1:$B$11,2,FALSE)</f>
        <v>Contemporary Fiction</v>
      </c>
      <c r="E547" s="8">
        <v>2000</v>
      </c>
      <c r="F547" s="6">
        <v>17770</v>
      </c>
      <c r="G547" s="6" t="str">
        <f>VLOOKUP(F547,'4-Actor Codes'!$A$1:$B$622,2,FALSE)</f>
        <v>Sandra Bullock</v>
      </c>
      <c r="H547" s="8" t="s">
        <v>10</v>
      </c>
      <c r="I547" s="9">
        <v>106807667</v>
      </c>
      <c r="J547" s="10">
        <v>106613284</v>
      </c>
      <c r="L547" s="10">
        <v>45000000</v>
      </c>
      <c r="M547" s="13"/>
      <c r="N547" s="13"/>
      <c r="O547" s="13"/>
      <c r="P547" s="13"/>
    </row>
    <row r="548" spans="1:16" ht="31" x14ac:dyDescent="0.35">
      <c r="A548" s="5">
        <v>547</v>
      </c>
      <c r="B548" s="6" t="s">
        <v>554</v>
      </c>
      <c r="C548" s="7">
        <v>60</v>
      </c>
      <c r="D548" s="7" t="str">
        <f>VLOOKUP(C548,'5-Genre Codes'!$A$1:$B$11,2,FALSE)</f>
        <v>Kids Fiction</v>
      </c>
      <c r="E548" s="8">
        <v>2000</v>
      </c>
      <c r="F548" s="6">
        <v>10690</v>
      </c>
      <c r="G548" s="6" t="str">
        <f>VLOOKUP(F548,'4-Actor Codes'!$A$1:$B$622,2,FALSE)</f>
        <v>Benjamin Whitrow</v>
      </c>
      <c r="H548" s="8" t="s">
        <v>10</v>
      </c>
      <c r="I548" s="9">
        <v>106793915</v>
      </c>
      <c r="J548" s="10">
        <v>121000000</v>
      </c>
      <c r="L548" s="10">
        <v>42000000</v>
      </c>
      <c r="M548" s="13"/>
      <c r="N548" s="13"/>
      <c r="O548" s="13"/>
      <c r="P548" s="13"/>
    </row>
    <row r="549" spans="1:16" ht="31" x14ac:dyDescent="0.35">
      <c r="A549" s="5">
        <v>548</v>
      </c>
      <c r="B549" s="6" t="s">
        <v>555</v>
      </c>
      <c r="C549" s="7">
        <v>50</v>
      </c>
      <c r="D549" s="7" t="str">
        <f>VLOOKUP(C549,'5-Genre Codes'!$A$1:$B$11,2,FALSE)</f>
        <v>Historical Fiction</v>
      </c>
      <c r="E549" s="8">
        <v>2013</v>
      </c>
      <c r="F549" s="6">
        <v>18325</v>
      </c>
      <c r="G549" s="6" t="str">
        <f>VLOOKUP(F549,'4-Actor Codes'!$A$1:$B$622,2,FALSE)</f>
        <v>Sullivan Stapleton</v>
      </c>
      <c r="H549" s="8" t="s">
        <v>13</v>
      </c>
      <c r="I549" s="9">
        <v>106580051</v>
      </c>
      <c r="J549" s="10">
        <v>224200000</v>
      </c>
      <c r="L549" s="10">
        <v>110000000</v>
      </c>
      <c r="M549" s="13"/>
      <c r="N549" s="13"/>
      <c r="O549" s="13"/>
      <c r="P549" s="13"/>
    </row>
    <row r="550" spans="1:16" ht="31" x14ac:dyDescent="0.35">
      <c r="A550" s="5">
        <v>549</v>
      </c>
      <c r="B550" s="6" t="s">
        <v>556</v>
      </c>
      <c r="C550" s="7">
        <v>10</v>
      </c>
      <c r="D550" s="7" t="str">
        <f>VLOOKUP(C550,'5-Genre Codes'!$A$1:$B$11,2,FALSE)</f>
        <v>Contemporary Fiction</v>
      </c>
      <c r="E550" s="8">
        <v>1970</v>
      </c>
      <c r="F550" s="6">
        <v>18865</v>
      </c>
      <c r="G550" s="6" t="str">
        <f>VLOOKUP(F550,'4-Actor Codes'!$A$1:$B$622,2,FALSE)</f>
        <v>Tommy Lee Jones</v>
      </c>
      <c r="H550" s="8" t="s">
        <v>10</v>
      </c>
      <c r="I550" s="9">
        <v>106397186</v>
      </c>
      <c r="J550" s="10">
        <v>30000000</v>
      </c>
      <c r="L550" s="10">
        <v>0</v>
      </c>
      <c r="M550" s="13"/>
      <c r="N550" s="13"/>
      <c r="O550" s="13"/>
      <c r="P550" s="13"/>
    </row>
    <row r="551" spans="1:16" ht="31" x14ac:dyDescent="0.35">
      <c r="A551" s="5">
        <v>550</v>
      </c>
      <c r="B551" s="6" t="s">
        <v>557</v>
      </c>
      <c r="C551" s="7">
        <v>10</v>
      </c>
      <c r="D551" s="7" t="str">
        <f>VLOOKUP(C551,'5-Genre Codes'!$A$1:$B$11,2,FALSE)</f>
        <v>Contemporary Fiction</v>
      </c>
      <c r="E551" s="8">
        <v>2003</v>
      </c>
      <c r="F551" s="6">
        <v>12295</v>
      </c>
      <c r="G551" s="6" t="str">
        <f>VLOOKUP(F551,'4-Actor Codes'!$A$1:$B$622,2,FALSE)</f>
        <v>Donald Sutherland</v>
      </c>
      <c r="H551" s="8" t="s">
        <v>10</v>
      </c>
      <c r="I551" s="9">
        <v>106126012</v>
      </c>
      <c r="J551" s="10">
        <v>70136827</v>
      </c>
      <c r="L551" s="10">
        <v>60000000</v>
      </c>
      <c r="M551" s="13"/>
      <c r="N551" s="13"/>
      <c r="O551" s="13"/>
      <c r="P551" s="13"/>
    </row>
    <row r="552" spans="1:16" ht="31" x14ac:dyDescent="0.35">
      <c r="A552" s="5">
        <v>551</v>
      </c>
      <c r="B552" s="6" t="s">
        <v>558</v>
      </c>
      <c r="C552" s="7">
        <v>10</v>
      </c>
      <c r="D552" s="7" t="str">
        <f>VLOOKUP(C552,'5-Genre Codes'!$A$1:$B$11,2,FALSE)</f>
        <v>Contemporary Fiction</v>
      </c>
      <c r="E552" s="8">
        <v>1995</v>
      </c>
      <c r="F552" s="6">
        <v>16975</v>
      </c>
      <c r="G552" s="6" t="str">
        <f>VLOOKUP(F552,'4-Actor Codes'!$A$1:$B$622,2,FALSE)</f>
        <v>Pierce Brosnan</v>
      </c>
      <c r="H552" s="8" t="s">
        <v>13</v>
      </c>
      <c r="I552" s="9">
        <v>105978900</v>
      </c>
      <c r="J552" s="10">
        <v>250000000</v>
      </c>
      <c r="L552" s="10">
        <v>60000000</v>
      </c>
      <c r="M552" s="13"/>
      <c r="N552" s="13"/>
      <c r="O552" s="13"/>
      <c r="P552" s="13"/>
    </row>
    <row r="553" spans="1:16" ht="31" x14ac:dyDescent="0.35">
      <c r="A553" s="5">
        <v>552</v>
      </c>
      <c r="B553" s="6" t="s">
        <v>559</v>
      </c>
      <c r="C553" s="7">
        <v>10</v>
      </c>
      <c r="D553" s="7" t="str">
        <f>VLOOKUP(C553,'5-Genre Codes'!$A$1:$B$11,2,FALSE)</f>
        <v>Contemporary Fiction</v>
      </c>
      <c r="E553" s="8">
        <v>2003</v>
      </c>
      <c r="F553" s="6">
        <v>10615</v>
      </c>
      <c r="G553" s="6" t="str">
        <f>VLOOKUP(F553,'4-Actor Codes'!$A$1:$B$622,2,FALSE)</f>
        <v>Bebe Neuwirth</v>
      </c>
      <c r="H553" s="8" t="s">
        <v>10</v>
      </c>
      <c r="I553" s="9">
        <v>105807520</v>
      </c>
      <c r="J553" s="10">
        <v>73083262</v>
      </c>
      <c r="L553" s="10">
        <v>50000000</v>
      </c>
      <c r="M553" s="13"/>
      <c r="N553" s="13"/>
      <c r="O553" s="13"/>
      <c r="P553" s="13"/>
    </row>
    <row r="554" spans="1:16" ht="31" x14ac:dyDescent="0.35">
      <c r="A554" s="5">
        <v>553</v>
      </c>
      <c r="B554" s="6" t="s">
        <v>560</v>
      </c>
      <c r="C554" s="7">
        <v>10</v>
      </c>
      <c r="D554" s="7" t="str">
        <f>VLOOKUP(C554,'5-Genre Codes'!$A$1:$B$11,2,FALSE)</f>
        <v>Contemporary Fiction</v>
      </c>
      <c r="E554" s="8">
        <v>1996</v>
      </c>
      <c r="F554" s="6">
        <v>16945</v>
      </c>
      <c r="G554" s="6" t="str">
        <f>VLOOKUP(F554,'4-Actor Codes'!$A$1:$B$622,2,FALSE)</f>
        <v>Philip Bosco</v>
      </c>
      <c r="H554" s="8" t="s">
        <v>10</v>
      </c>
      <c r="I554" s="9">
        <v>105444419</v>
      </c>
      <c r="J554" s="10">
        <v>76000000</v>
      </c>
      <c r="L554" s="10">
        <v>30000000</v>
      </c>
      <c r="M554" s="13"/>
      <c r="N554" s="13"/>
      <c r="O554" s="13"/>
      <c r="P554" s="13"/>
    </row>
    <row r="555" spans="1:16" ht="31" x14ac:dyDescent="0.35">
      <c r="A555" s="5">
        <v>554</v>
      </c>
      <c r="B555" s="6" t="s">
        <v>561</v>
      </c>
      <c r="C555" s="7">
        <v>50</v>
      </c>
      <c r="D555" s="7" t="str">
        <f>VLOOKUP(C555,'5-Genre Codes'!$A$1:$B$11,2,FALSE)</f>
        <v>Historical Fiction</v>
      </c>
      <c r="E555" s="8">
        <v>2010</v>
      </c>
      <c r="F555" s="6">
        <v>17605</v>
      </c>
      <c r="G555" s="6" t="str">
        <f>VLOOKUP(F555,'4-Actor Codes'!$A$1:$B$622,2,FALSE)</f>
        <v>Russell Crowe</v>
      </c>
      <c r="H555" s="8" t="s">
        <v>10</v>
      </c>
      <c r="I555" s="9">
        <v>105269730</v>
      </c>
      <c r="J555" s="10">
        <v>216971858</v>
      </c>
      <c r="L555" s="10">
        <v>210000000</v>
      </c>
      <c r="M555" s="13"/>
      <c r="N555" s="13"/>
      <c r="O555" s="13"/>
      <c r="P555" s="13"/>
    </row>
    <row r="556" spans="1:16" ht="31" x14ac:dyDescent="0.35">
      <c r="A556" s="5">
        <v>555</v>
      </c>
      <c r="B556" s="6" t="s">
        <v>562</v>
      </c>
      <c r="C556" s="7">
        <v>10</v>
      </c>
      <c r="D556" s="7" t="str">
        <f>VLOOKUP(C556,'5-Genre Codes'!$A$1:$B$11,2,FALSE)</f>
        <v>Contemporary Fiction</v>
      </c>
      <c r="E556" s="8">
        <v>1983</v>
      </c>
      <c r="F556" s="6">
        <v>11875</v>
      </c>
      <c r="G556" s="6" t="str">
        <f>VLOOKUP(F556,'4-Actor Codes'!$A$1:$B$622,2,FALSE)</f>
        <v>Danny De Vito</v>
      </c>
      <c r="H556" s="8" t="s">
        <v>10</v>
      </c>
      <c r="I556" s="9">
        <v>105237012</v>
      </c>
      <c r="J556" s="10">
        <v>350400000</v>
      </c>
      <c r="K556" s="11" t="s">
        <v>1010</v>
      </c>
      <c r="L556" s="10">
        <v>155000000</v>
      </c>
      <c r="M556" s="13"/>
      <c r="N556" s="13"/>
      <c r="O556" s="13"/>
      <c r="P556" s="13"/>
    </row>
    <row r="557" spans="1:16" ht="31" x14ac:dyDescent="0.35">
      <c r="A557" s="5">
        <v>556</v>
      </c>
      <c r="B557" s="6" t="s">
        <v>563</v>
      </c>
      <c r="C557" s="7">
        <v>60</v>
      </c>
      <c r="D557" s="7" t="str">
        <f>VLOOKUP(C557,'5-Genre Codes'!$A$1:$B$11,2,FALSE)</f>
        <v>Kids Fiction</v>
      </c>
      <c r="E557" s="8">
        <v>1997</v>
      </c>
      <c r="F557" s="6">
        <v>18130</v>
      </c>
      <c r="G557" s="6" t="str">
        <f>VLOOKUP(F557,'4-Actor Codes'!$A$1:$B$622,2,FALSE)</f>
        <v>Spencer Garrett</v>
      </c>
      <c r="H557" s="8" t="s">
        <v>10</v>
      </c>
      <c r="I557" s="9">
        <v>105224566</v>
      </c>
      <c r="J557" s="10">
        <v>69200000</v>
      </c>
      <c r="L557" s="10">
        <v>55000000</v>
      </c>
      <c r="M557" s="13"/>
      <c r="N557" s="13"/>
      <c r="O557" s="13"/>
      <c r="P557" s="13"/>
    </row>
    <row r="558" spans="1:16" ht="31" x14ac:dyDescent="0.35">
      <c r="A558" s="5">
        <v>557</v>
      </c>
      <c r="B558" s="6" t="s">
        <v>564</v>
      </c>
      <c r="C558" s="7">
        <v>40</v>
      </c>
      <c r="D558" s="7" t="str">
        <f>VLOOKUP(C558,'5-Genre Codes'!$A$1:$B$11,2,FALSE)</f>
        <v>Fantasy</v>
      </c>
      <c r="E558" s="8">
        <v>1994</v>
      </c>
      <c r="F558" s="6">
        <v>10495</v>
      </c>
      <c r="G558" s="6" t="str">
        <f>VLOOKUP(F558,'4-Actor Codes'!$A$1:$B$622,2,FALSE)</f>
        <v>Antonio Banderas</v>
      </c>
      <c r="H558" s="8" t="s">
        <v>10</v>
      </c>
      <c r="I558" s="9">
        <v>105163524</v>
      </c>
      <c r="J558" s="10">
        <v>118300000</v>
      </c>
      <c r="L558" s="10">
        <v>50000000</v>
      </c>
      <c r="M558" s="13"/>
      <c r="N558" s="13"/>
      <c r="O558" s="13"/>
      <c r="P558" s="13"/>
    </row>
    <row r="559" spans="1:16" x14ac:dyDescent="0.35">
      <c r="A559" s="5">
        <v>558</v>
      </c>
      <c r="B559" s="6" t="s">
        <v>565</v>
      </c>
      <c r="C559" s="7">
        <v>50</v>
      </c>
      <c r="D559" s="7" t="str">
        <f>VLOOKUP(C559,'5-Genre Codes'!$A$1:$B$11,2,FALSE)</f>
        <v>Historical Fiction</v>
      </c>
      <c r="E559" s="8">
        <v>1982</v>
      </c>
      <c r="F559" s="6">
        <v>14920</v>
      </c>
      <c r="G559" s="6" t="str">
        <f>VLOOKUP(F559,'4-Actor Codes'!$A$1:$B$622,2,FALSE)</f>
        <v>Kim Cattrall</v>
      </c>
      <c r="H559" s="8" t="s">
        <v>10</v>
      </c>
      <c r="I559" s="9">
        <v>105124546</v>
      </c>
      <c r="J559" s="10">
        <v>77900000</v>
      </c>
      <c r="L559" s="10">
        <v>30000000</v>
      </c>
      <c r="M559" s="13"/>
      <c r="N559" s="13"/>
      <c r="O559" s="13"/>
      <c r="P559" s="13"/>
    </row>
    <row r="560" spans="1:16" ht="31" x14ac:dyDescent="0.35">
      <c r="A560" s="5">
        <v>559</v>
      </c>
      <c r="B560" s="6" t="s">
        <v>566</v>
      </c>
      <c r="C560" s="7">
        <v>10</v>
      </c>
      <c r="D560" s="7" t="str">
        <f>VLOOKUP(C560,'5-Genre Codes'!$A$1:$B$11,2,FALSE)</f>
        <v>Contemporary Fiction</v>
      </c>
      <c r="E560" s="8">
        <v>1996</v>
      </c>
      <c r="F560" s="6">
        <v>14320</v>
      </c>
      <c r="G560" s="6" t="str">
        <f>VLOOKUP(F560,'4-Actor Codes'!$A$1:$B$622,2,FALSE)</f>
        <v>John Travolta</v>
      </c>
      <c r="H560" s="8" t="s">
        <v>10</v>
      </c>
      <c r="I560" s="9">
        <v>104632573</v>
      </c>
      <c r="J560" s="10">
        <v>47400000</v>
      </c>
      <c r="L560" s="10">
        <v>32000000</v>
      </c>
      <c r="M560" s="13"/>
      <c r="N560" s="13"/>
      <c r="O560" s="13"/>
      <c r="P560" s="13"/>
    </row>
    <row r="561" spans="1:16" ht="31" x14ac:dyDescent="0.35">
      <c r="A561" s="5">
        <v>560</v>
      </c>
      <c r="B561" s="6" t="s">
        <v>567</v>
      </c>
      <c r="C561" s="7">
        <v>60</v>
      </c>
      <c r="D561" s="7" t="str">
        <f>VLOOKUP(C561,'5-Genre Codes'!$A$1:$B$11,2,FALSE)</f>
        <v>Kids Fiction</v>
      </c>
      <c r="E561" s="8">
        <v>2009</v>
      </c>
      <c r="F561" s="6">
        <v>10345</v>
      </c>
      <c r="G561" s="6" t="str">
        <f>VLOOKUP(F561,'4-Actor Codes'!$A$1:$B$622,2,FALSE)</f>
        <v>Anika Noni Rose</v>
      </c>
      <c r="H561" s="8" t="s">
        <v>10</v>
      </c>
      <c r="I561" s="9">
        <v>104400899</v>
      </c>
      <c r="J561" s="10">
        <v>166596479</v>
      </c>
      <c r="L561" s="10">
        <v>105000000</v>
      </c>
      <c r="M561" s="13"/>
      <c r="N561" s="13"/>
      <c r="O561" s="13"/>
      <c r="P561" s="13"/>
    </row>
    <row r="562" spans="1:16" ht="31" x14ac:dyDescent="0.35">
      <c r="A562" s="5">
        <v>561</v>
      </c>
      <c r="B562" s="6" t="s">
        <v>568</v>
      </c>
      <c r="C562" s="7">
        <v>10</v>
      </c>
      <c r="D562" s="7" t="str">
        <f>VLOOKUP(C562,'5-Genre Codes'!$A$1:$B$11,2,FALSE)</f>
        <v>Contemporary Fiction</v>
      </c>
      <c r="E562" s="8">
        <v>1967</v>
      </c>
      <c r="F562" s="6">
        <v>12325</v>
      </c>
      <c r="G562" s="6" t="str">
        <f>VLOOKUP(F562,'4-Actor Codes'!$A$1:$B$622,2,FALSE)</f>
        <v>Dustin Hoffman</v>
      </c>
      <c r="H562" s="8" t="s">
        <v>10</v>
      </c>
      <c r="I562" s="9">
        <v>104397102</v>
      </c>
      <c r="J562" s="10">
        <v>297154830</v>
      </c>
      <c r="L562" s="10">
        <v>205000000</v>
      </c>
      <c r="M562" s="13"/>
      <c r="N562" s="13"/>
      <c r="O562" s="13"/>
      <c r="P562" s="13"/>
    </row>
    <row r="563" spans="1:16" ht="31" x14ac:dyDescent="0.35">
      <c r="A563" s="5">
        <v>562</v>
      </c>
      <c r="B563" s="6" t="s">
        <v>569</v>
      </c>
      <c r="C563" s="7">
        <v>40</v>
      </c>
      <c r="D563" s="7" t="str">
        <f>VLOOKUP(C563,'5-Genre Codes'!$A$1:$B$11,2,FALSE)</f>
        <v>Fantasy</v>
      </c>
      <c r="E563" s="8">
        <v>2010</v>
      </c>
      <c r="F563" s="6">
        <v>19150</v>
      </c>
      <c r="G563" s="6" t="str">
        <f>VLOOKUP(F563,'4-Actor Codes'!$A$1:$B$622,2,FALSE)</f>
        <v>Will Poulter</v>
      </c>
      <c r="H563" s="8" t="s">
        <v>13</v>
      </c>
      <c r="I563" s="9">
        <v>104386950</v>
      </c>
      <c r="J563" s="10">
        <v>313800000</v>
      </c>
      <c r="L563" s="10">
        <v>155000000</v>
      </c>
      <c r="M563" s="13"/>
      <c r="N563" s="13"/>
      <c r="O563" s="13"/>
      <c r="P563" s="13"/>
    </row>
    <row r="564" spans="1:16" ht="31" x14ac:dyDescent="0.35">
      <c r="A564" s="5">
        <v>563</v>
      </c>
      <c r="B564" s="6" t="s">
        <v>570</v>
      </c>
      <c r="C564" s="7">
        <v>10</v>
      </c>
      <c r="D564" s="7" t="str">
        <f>VLOOKUP(C564,'5-Genre Codes'!$A$1:$B$11,2,FALSE)</f>
        <v>Contemporary Fiction</v>
      </c>
      <c r="E564" s="8">
        <v>2003</v>
      </c>
      <c r="F564" s="6">
        <v>15100</v>
      </c>
      <c r="G564" s="6" t="str">
        <f>VLOOKUP(F564,'4-Actor Codes'!$A$1:$B$622,2,FALSE)</f>
        <v>Lawrence Pressman</v>
      </c>
      <c r="H564" s="8" t="s">
        <v>13</v>
      </c>
      <c r="I564" s="9">
        <v>104354205</v>
      </c>
      <c r="J564" s="10">
        <v>67040820</v>
      </c>
      <c r="L564" s="10">
        <v>46000000</v>
      </c>
      <c r="M564" s="13"/>
      <c r="N564" s="13"/>
      <c r="O564" s="13"/>
      <c r="P564" s="13"/>
    </row>
    <row r="565" spans="1:16" ht="31" x14ac:dyDescent="0.35">
      <c r="A565" s="5">
        <v>564</v>
      </c>
      <c r="B565" s="6" t="s">
        <v>571</v>
      </c>
      <c r="C565" s="7">
        <v>10</v>
      </c>
      <c r="D565" s="7" t="str">
        <f>VLOOKUP(C565,'5-Genre Codes'!$A$1:$B$11,2,FALSE)</f>
        <v>Contemporary Fiction</v>
      </c>
      <c r="E565" s="8">
        <v>1978</v>
      </c>
      <c r="F565" s="6">
        <v>17620</v>
      </c>
      <c r="G565" s="6" t="str">
        <f>VLOOKUP(F565,'4-Actor Codes'!$A$1:$B$622,2,FALSE)</f>
        <v>Ruth Gordon</v>
      </c>
      <c r="H565" s="8" t="s">
        <v>10</v>
      </c>
      <c r="I565" s="9">
        <v>104268727</v>
      </c>
      <c r="J565" s="10">
        <v>150980157</v>
      </c>
      <c r="L565" s="10">
        <v>0</v>
      </c>
      <c r="M565" s="13"/>
      <c r="N565" s="13"/>
      <c r="O565" s="13"/>
      <c r="P565" s="13"/>
    </row>
    <row r="566" spans="1:16" ht="31" x14ac:dyDescent="0.35">
      <c r="A566" s="5">
        <v>565</v>
      </c>
      <c r="B566" s="6" t="s">
        <v>572</v>
      </c>
      <c r="C566" s="7">
        <v>10</v>
      </c>
      <c r="D566" s="7" t="str">
        <f>VLOOKUP(C566,'5-Genre Codes'!$A$1:$B$11,2,FALSE)</f>
        <v>Contemporary Fiction</v>
      </c>
      <c r="E566" s="8">
        <v>2003</v>
      </c>
      <c r="F566" s="6">
        <v>12475</v>
      </c>
      <c r="G566" s="6" t="str">
        <f>VLOOKUP(F566,'4-Actor Codes'!$A$1:$B$622,2,FALSE)</f>
        <v>Elle Fanning</v>
      </c>
      <c r="H566" s="8" t="s">
        <v>10</v>
      </c>
      <c r="I566" s="9">
        <v>104148781</v>
      </c>
      <c r="J566" s="10">
        <v>60136806</v>
      </c>
      <c r="L566" s="10">
        <v>60000000</v>
      </c>
      <c r="M566" s="13"/>
      <c r="N566" s="13"/>
      <c r="O566" s="13"/>
      <c r="P566" s="13"/>
    </row>
    <row r="567" spans="1:16" x14ac:dyDescent="0.35">
      <c r="A567" s="5">
        <v>566</v>
      </c>
      <c r="B567" s="6" t="s">
        <v>573</v>
      </c>
      <c r="C567" s="7">
        <v>50</v>
      </c>
      <c r="D567" s="7" t="str">
        <f>VLOOKUP(C567,'5-Genre Codes'!$A$1:$B$11,2,FALSE)</f>
        <v>Historical Fiction</v>
      </c>
      <c r="E567" s="8">
        <v>2002</v>
      </c>
      <c r="F567" s="6">
        <v>18760</v>
      </c>
      <c r="G567" s="6" t="str">
        <f>VLOOKUP(F567,'4-Actor Codes'!$A$1:$B$622,2,FALSE)</f>
        <v>Tom Hanks</v>
      </c>
      <c r="H567" s="8" t="s">
        <v>10</v>
      </c>
      <c r="I567" s="9">
        <v>104054514</v>
      </c>
      <c r="J567" s="10">
        <v>79300000</v>
      </c>
      <c r="L567" s="10">
        <v>80000000</v>
      </c>
      <c r="M567" s="13"/>
      <c r="N567" s="13"/>
      <c r="O567" s="13"/>
      <c r="P567" s="13"/>
    </row>
    <row r="568" spans="1:16" ht="31" x14ac:dyDescent="0.35">
      <c r="A568" s="5">
        <v>567</v>
      </c>
      <c r="B568" s="6" t="s">
        <v>574</v>
      </c>
      <c r="C568" s="7">
        <v>40</v>
      </c>
      <c r="D568" s="7" t="str">
        <f>VLOOKUP(C568,'5-Genre Codes'!$A$1:$B$11,2,FALSE)</f>
        <v>Fantasy</v>
      </c>
      <c r="E568" s="8">
        <v>2011</v>
      </c>
      <c r="F568" s="6">
        <v>12340</v>
      </c>
      <c r="G568" s="6" t="str">
        <f>VLOOKUP(F568,'4-Actor Codes'!$A$1:$B$622,2,FALSE)</f>
        <v>Dustin Ingram</v>
      </c>
      <c r="H568" s="8" t="s">
        <v>13</v>
      </c>
      <c r="I568" s="9">
        <v>104028807</v>
      </c>
      <c r="J568" s="10">
        <v>98024579</v>
      </c>
      <c r="L568" s="10">
        <v>5000000</v>
      </c>
      <c r="M568" s="13"/>
      <c r="N568" s="13"/>
      <c r="O568" s="13"/>
      <c r="P568" s="13"/>
    </row>
    <row r="569" spans="1:16" ht="31" x14ac:dyDescent="0.35">
      <c r="A569" s="5">
        <v>568</v>
      </c>
      <c r="B569" s="6" t="s">
        <v>575</v>
      </c>
      <c r="C569" s="7">
        <v>40</v>
      </c>
      <c r="D569" s="7" t="str">
        <f>VLOOKUP(C569,'5-Genre Codes'!$A$1:$B$11,2,FALSE)</f>
        <v>Fantasy</v>
      </c>
      <c r="E569" s="8">
        <v>2011</v>
      </c>
      <c r="F569" s="6">
        <v>12355</v>
      </c>
      <c r="G569" s="6" t="str">
        <f>VLOOKUP(F569,'4-Actor Codes'!$A$1:$B$622,2,FALSE)</f>
        <v>Dwayne Johnson</v>
      </c>
      <c r="H569" s="8" t="s">
        <v>13</v>
      </c>
      <c r="I569" s="9">
        <v>103860290</v>
      </c>
      <c r="J569" s="10">
        <v>214285872</v>
      </c>
      <c r="L569" s="10">
        <v>79000000</v>
      </c>
      <c r="M569" s="13"/>
      <c r="N569" s="13"/>
      <c r="O569" s="13"/>
      <c r="P569" s="13"/>
    </row>
    <row r="570" spans="1:16" x14ac:dyDescent="0.35">
      <c r="A570" s="5">
        <v>569</v>
      </c>
      <c r="B570" s="6" t="s">
        <v>576</v>
      </c>
      <c r="C570" s="7">
        <v>60</v>
      </c>
      <c r="D570" s="7" t="str">
        <f>VLOOKUP(C570,'5-Genre Codes'!$A$1:$B$11,2,FALSE)</f>
        <v>Kids Fiction</v>
      </c>
      <c r="E570" s="8">
        <v>2012</v>
      </c>
      <c r="F570" s="6">
        <v>11380</v>
      </c>
      <c r="G570" s="6" t="str">
        <f>VLOOKUP(F570,'4-Actor Codes'!$A$1:$B$622,2,FALSE)</f>
        <v>Chris Pine</v>
      </c>
      <c r="H570" s="8" t="s">
        <v>10</v>
      </c>
      <c r="I570" s="9">
        <v>103412758</v>
      </c>
      <c r="J570" s="10">
        <v>203488144</v>
      </c>
      <c r="L570" s="10">
        <v>145000000</v>
      </c>
      <c r="M570" s="13"/>
      <c r="N570" s="13"/>
      <c r="O570" s="13"/>
      <c r="P570" s="13"/>
    </row>
    <row r="571" spans="1:16" x14ac:dyDescent="0.35">
      <c r="A571" s="5">
        <v>570</v>
      </c>
      <c r="B571" s="6" t="s">
        <v>577</v>
      </c>
      <c r="C571" s="7">
        <v>50</v>
      </c>
      <c r="D571" s="7" t="str">
        <f>VLOOKUP(C571,'5-Genre Codes'!$A$1:$B$11,2,FALSE)</f>
        <v>Historical Fiction</v>
      </c>
      <c r="E571" s="8">
        <v>2006</v>
      </c>
      <c r="F571" s="6">
        <v>17965</v>
      </c>
      <c r="G571" s="6" t="str">
        <f>VLOOKUP(F571,'4-Actor Codes'!$A$1:$B$622,2,FALSE)</f>
        <v>Sharon Leal</v>
      </c>
      <c r="H571" s="8" t="s">
        <v>10</v>
      </c>
      <c r="I571" s="9">
        <v>103365956</v>
      </c>
      <c r="J571" s="10">
        <v>51600000</v>
      </c>
      <c r="L571" s="10">
        <v>75000000</v>
      </c>
      <c r="M571" s="13"/>
      <c r="N571" s="13"/>
      <c r="O571" s="13"/>
      <c r="P571" s="13"/>
    </row>
    <row r="572" spans="1:16" ht="31" x14ac:dyDescent="0.35">
      <c r="A572" s="5">
        <v>571</v>
      </c>
      <c r="B572" s="6" t="s">
        <v>578</v>
      </c>
      <c r="C572" s="7">
        <v>10</v>
      </c>
      <c r="D572" s="7" t="str">
        <f>VLOOKUP(C572,'5-Genre Codes'!$A$1:$B$11,2,FALSE)</f>
        <v>Contemporary Fiction</v>
      </c>
      <c r="E572" s="8">
        <v>2010</v>
      </c>
      <c r="F572" s="6">
        <v>18385</v>
      </c>
      <c r="G572" s="6" t="str">
        <f>VLOOKUP(F572,'4-Actor Codes'!$A$1:$B$622,2,FALSE)</f>
        <v>Sylvester Stallone</v>
      </c>
      <c r="H572" s="8" t="s">
        <v>10</v>
      </c>
      <c r="I572" s="9">
        <v>103068524</v>
      </c>
      <c r="J572" s="10">
        <v>165199650</v>
      </c>
      <c r="L572" s="10">
        <v>82000000</v>
      </c>
      <c r="M572" s="13"/>
      <c r="N572" s="13"/>
      <c r="O572" s="13"/>
      <c r="P572" s="13"/>
    </row>
    <row r="573" spans="1:16" ht="31" x14ac:dyDescent="0.35">
      <c r="A573" s="5">
        <v>572</v>
      </c>
      <c r="B573" s="6" t="s">
        <v>579</v>
      </c>
      <c r="C573" s="7">
        <v>10</v>
      </c>
      <c r="D573" s="7" t="str">
        <f>VLOOKUP(C573,'5-Genre Codes'!$A$1:$B$11,2,FALSE)</f>
        <v>Contemporary Fiction</v>
      </c>
      <c r="E573" s="8">
        <v>2010</v>
      </c>
      <c r="F573" s="6">
        <v>10015</v>
      </c>
      <c r="G573" s="6" t="str">
        <f>VLOOKUP(F573,'4-Actor Codes'!$A$1:$B$622,2,FALSE)</f>
        <v>Adam Sandler</v>
      </c>
      <c r="H573" s="8" t="s">
        <v>10</v>
      </c>
      <c r="I573" s="9">
        <v>103028109</v>
      </c>
      <c r="J573" s="10">
        <v>111946844</v>
      </c>
      <c r="L573" s="10">
        <v>80000000</v>
      </c>
      <c r="M573" s="13"/>
      <c r="N573" s="13"/>
      <c r="O573" s="13"/>
      <c r="P573" s="13"/>
    </row>
    <row r="574" spans="1:16" ht="31" x14ac:dyDescent="0.35">
      <c r="A574" s="5">
        <v>573</v>
      </c>
      <c r="B574" s="6" t="s">
        <v>580</v>
      </c>
      <c r="C574" s="7">
        <v>10</v>
      </c>
      <c r="D574" s="7" t="str">
        <f>VLOOKUP(C574,'5-Genre Codes'!$A$1:$B$11,2,FALSE)</f>
        <v>Contemporary Fiction</v>
      </c>
      <c r="E574" s="8">
        <v>1996</v>
      </c>
      <c r="F574" s="6">
        <v>11965</v>
      </c>
      <c r="G574" s="6" t="str">
        <f>VLOOKUP(F574,'4-Actor Codes'!$A$1:$B$622,2,FALSE)</f>
        <v>David Arquette</v>
      </c>
      <c r="H574" s="8" t="s">
        <v>10</v>
      </c>
      <c r="I574" s="9">
        <v>103001286</v>
      </c>
      <c r="J574" s="10">
        <v>70000000</v>
      </c>
      <c r="L574" s="10">
        <v>15000000</v>
      </c>
      <c r="M574" s="13"/>
      <c r="N574" s="13"/>
      <c r="O574" s="13"/>
      <c r="P574" s="13"/>
    </row>
    <row r="575" spans="1:16" ht="31" x14ac:dyDescent="0.35">
      <c r="A575" s="5">
        <v>574</v>
      </c>
      <c r="B575" s="6" t="s">
        <v>581</v>
      </c>
      <c r="C575" s="7">
        <v>10</v>
      </c>
      <c r="D575" s="7" t="str">
        <f>VLOOKUP(C575,'5-Genre Codes'!$A$1:$B$11,2,FALSE)</f>
        <v>Contemporary Fiction</v>
      </c>
      <c r="E575" s="8">
        <v>1978</v>
      </c>
      <c r="F575" s="6">
        <v>14770</v>
      </c>
      <c r="G575" s="6" t="str">
        <f>VLOOKUP(F575,'4-Actor Codes'!$A$1:$B$622,2,FALSE)</f>
        <v>Keith Gordon</v>
      </c>
      <c r="H575" s="8" t="s">
        <v>13</v>
      </c>
      <c r="I575" s="9">
        <v>102922376</v>
      </c>
      <c r="J575" s="10">
        <v>105978000</v>
      </c>
      <c r="L575" s="10">
        <v>20000000</v>
      </c>
      <c r="M575" s="13"/>
      <c r="N575" s="13"/>
      <c r="O575" s="13"/>
      <c r="P575" s="13"/>
    </row>
    <row r="576" spans="1:16" x14ac:dyDescent="0.35">
      <c r="A576" s="5">
        <v>575</v>
      </c>
      <c r="B576" s="6" t="s">
        <v>582</v>
      </c>
      <c r="C576" s="7">
        <v>60</v>
      </c>
      <c r="D576" s="7" t="str">
        <f>VLOOKUP(C576,'5-Genre Codes'!$A$1:$B$11,2,FALSE)</f>
        <v>Kids Fiction</v>
      </c>
      <c r="E576" s="8">
        <v>1942</v>
      </c>
      <c r="F576" s="6">
        <v>10000</v>
      </c>
      <c r="G576" s="6" t="str">
        <f>VLOOKUP(F576,'4-Actor Codes'!$A$1:$B$622,2,FALSE)</f>
        <v>Unidentified</v>
      </c>
      <c r="H576" s="8" t="s">
        <v>10</v>
      </c>
      <c r="I576" s="9">
        <v>102797000</v>
      </c>
      <c r="J576" s="10">
        <v>165203000</v>
      </c>
      <c r="L576" s="10">
        <v>0</v>
      </c>
      <c r="M576" s="13"/>
      <c r="N576" s="13"/>
      <c r="O576" s="13"/>
      <c r="P576" s="13"/>
    </row>
    <row r="577" spans="1:16" ht="31" x14ac:dyDescent="0.35">
      <c r="A577" s="5">
        <v>576</v>
      </c>
      <c r="B577" s="6" t="s">
        <v>583</v>
      </c>
      <c r="C577" s="7">
        <v>10</v>
      </c>
      <c r="D577" s="7" t="str">
        <f>VLOOKUP(C577,'5-Genre Codes'!$A$1:$B$11,2,FALSE)</f>
        <v>Contemporary Fiction</v>
      </c>
      <c r="E577" s="8">
        <v>1999</v>
      </c>
      <c r="F577" s="6">
        <v>16915</v>
      </c>
      <c r="G577" s="6" t="str">
        <f>VLOOKUP(F577,'4-Actor Codes'!$A$1:$B$622,2,FALSE)</f>
        <v>Peter Weireter</v>
      </c>
      <c r="H577" s="8" t="s">
        <v>10</v>
      </c>
      <c r="I577" s="9">
        <v>102705852</v>
      </c>
      <c r="J577" s="10">
        <v>47000000</v>
      </c>
      <c r="L577" s="10">
        <v>60000000</v>
      </c>
      <c r="M577" s="13"/>
      <c r="N577" s="13"/>
      <c r="O577" s="13"/>
      <c r="P577" s="13"/>
    </row>
    <row r="578" spans="1:16" x14ac:dyDescent="0.35">
      <c r="A578" s="5">
        <v>577</v>
      </c>
      <c r="B578" s="6" t="s">
        <v>584</v>
      </c>
      <c r="C578" s="7">
        <v>50</v>
      </c>
      <c r="D578" s="7" t="str">
        <f>VLOOKUP(C578,'5-Genre Codes'!$A$1:$B$11,2,FALSE)</f>
        <v>Historical Fiction</v>
      </c>
      <c r="E578" s="8">
        <v>1989</v>
      </c>
      <c r="F578" s="6">
        <v>16705</v>
      </c>
      <c r="G578" s="6" t="str">
        <f>VLOOKUP(F578,'4-Actor Codes'!$A$1:$B$622,2,FALSE)</f>
        <v>Patti LuPone</v>
      </c>
      <c r="H578" s="8" t="s">
        <v>10</v>
      </c>
      <c r="I578" s="9">
        <v>102647257</v>
      </c>
      <c r="J578" s="10">
        <v>51600000</v>
      </c>
      <c r="L578" s="10">
        <v>75000000</v>
      </c>
      <c r="M578" s="13"/>
      <c r="N578" s="13"/>
      <c r="O578" s="13"/>
      <c r="P578" s="13"/>
    </row>
    <row r="579" spans="1:16" ht="31" x14ac:dyDescent="0.35">
      <c r="A579" s="5">
        <v>578</v>
      </c>
      <c r="B579" s="6" t="s">
        <v>585</v>
      </c>
      <c r="C579" s="7">
        <v>20</v>
      </c>
      <c r="D579" s="7" t="str">
        <f>VLOOKUP(C579,'5-Genre Codes'!$A$1:$B$11,2,FALSE)</f>
        <v>Dramatization</v>
      </c>
      <c r="E579" s="8">
        <v>2004</v>
      </c>
      <c r="F579" s="6">
        <v>12700</v>
      </c>
      <c r="G579" s="6" t="str">
        <f>VLOOKUP(F579,'4-Actor Codes'!$A$1:$B$622,2,FALSE)</f>
        <v>Frances Conroy</v>
      </c>
      <c r="H579" s="8" t="s">
        <v>10</v>
      </c>
      <c r="I579" s="9">
        <v>102608827</v>
      </c>
      <c r="J579" s="10">
        <v>105762065</v>
      </c>
      <c r="L579" s="10">
        <v>110000000</v>
      </c>
      <c r="M579" s="13"/>
      <c r="N579" s="13"/>
      <c r="O579" s="13"/>
      <c r="P579" s="13"/>
    </row>
    <row r="580" spans="1:16" ht="31" x14ac:dyDescent="0.35">
      <c r="A580" s="5">
        <v>579</v>
      </c>
      <c r="B580" s="6" t="s">
        <v>586</v>
      </c>
      <c r="C580" s="7">
        <v>90</v>
      </c>
      <c r="D580" s="7" t="str">
        <f>VLOOKUP(C580,'5-Genre Codes'!$A$1:$B$11,2,FALSE)</f>
        <v>Super Hero</v>
      </c>
      <c r="E580" s="8">
        <v>2003</v>
      </c>
      <c r="F580" s="6">
        <v>15190</v>
      </c>
      <c r="G580" s="6" t="str">
        <f>VLOOKUP(F580,'4-Actor Codes'!$A$1:$B$622,2,FALSE)</f>
        <v>Lennie Loftin</v>
      </c>
      <c r="H580" s="8" t="s">
        <v>10</v>
      </c>
      <c r="I580" s="9">
        <v>102543518</v>
      </c>
      <c r="J580" s="10">
        <v>80239000</v>
      </c>
      <c r="L580" s="10">
        <v>80000000</v>
      </c>
      <c r="M580" s="13"/>
      <c r="N580" s="13"/>
      <c r="O580" s="13"/>
      <c r="P580" s="13"/>
    </row>
    <row r="581" spans="1:16" ht="31" x14ac:dyDescent="0.35">
      <c r="A581" s="5">
        <v>580</v>
      </c>
      <c r="B581" s="6" t="s">
        <v>587</v>
      </c>
      <c r="C581" s="7">
        <v>10</v>
      </c>
      <c r="D581" s="7" t="str">
        <f>VLOOKUP(C581,'5-Genre Codes'!$A$1:$B$11,2,FALSE)</f>
        <v>Contemporary Fiction</v>
      </c>
      <c r="E581" s="8">
        <v>2011</v>
      </c>
      <c r="F581" s="6">
        <v>11830</v>
      </c>
      <c r="G581" s="6" t="str">
        <f>VLOOKUP(F581,'4-Actor Codes'!$A$1:$B$622,2,FALSE)</f>
        <v>Daniel Craig</v>
      </c>
      <c r="H581" s="8" t="s">
        <v>10</v>
      </c>
      <c r="I581" s="9">
        <v>102515793</v>
      </c>
      <c r="J581" s="10">
        <v>136858177</v>
      </c>
      <c r="L581" s="10">
        <v>90000000</v>
      </c>
      <c r="M581" s="13"/>
      <c r="N581" s="13"/>
      <c r="O581" s="13"/>
      <c r="P581" s="13"/>
    </row>
    <row r="582" spans="1:16" ht="31" x14ac:dyDescent="0.35">
      <c r="A582" s="5">
        <v>581</v>
      </c>
      <c r="B582" s="6" t="s">
        <v>588</v>
      </c>
      <c r="C582" s="7">
        <v>80</v>
      </c>
      <c r="D582" s="7" t="str">
        <f>VLOOKUP(C582,'5-Genre Codes'!$A$1:$B$11,2,FALSE)</f>
        <v>Science Fiction</v>
      </c>
      <c r="E582" s="8">
        <v>2014</v>
      </c>
      <c r="F582" s="6">
        <v>12370</v>
      </c>
      <c r="G582" s="6" t="str">
        <f>VLOOKUP(F582,'4-Actor Codes'!$A$1:$B$622,2,FALSE)</f>
        <v>Dylan O'Brien</v>
      </c>
      <c r="H582" s="8" t="s">
        <v>10</v>
      </c>
      <c r="I582" s="9">
        <v>102427862</v>
      </c>
      <c r="J582" s="10">
        <v>243100000</v>
      </c>
      <c r="L582" s="10">
        <v>34000000</v>
      </c>
      <c r="M582" s="13"/>
      <c r="N582" s="13"/>
      <c r="O582" s="13"/>
      <c r="P582" s="13"/>
    </row>
    <row r="583" spans="1:16" ht="31" x14ac:dyDescent="0.35">
      <c r="A583" s="5">
        <v>582</v>
      </c>
      <c r="B583" s="6" t="s">
        <v>589</v>
      </c>
      <c r="C583" s="7">
        <v>50</v>
      </c>
      <c r="D583" s="7" t="str">
        <f>VLOOKUP(C583,'5-Genre Codes'!$A$1:$B$11,2,FALSE)</f>
        <v>Historical Fiction</v>
      </c>
      <c r="E583" s="8">
        <v>1969</v>
      </c>
      <c r="F583" s="6">
        <v>14830</v>
      </c>
      <c r="G583" s="6" t="str">
        <f>VLOOKUP(F583,'4-Actor Codes'!$A$1:$B$622,2,FALSE)</f>
        <v>Kenneth Mars</v>
      </c>
      <c r="H583" s="8" t="s">
        <v>10</v>
      </c>
      <c r="I583" s="9">
        <v>102308900</v>
      </c>
      <c r="J583" s="10">
        <v>107812451</v>
      </c>
      <c r="L583" s="10">
        <v>37000000</v>
      </c>
      <c r="M583" s="13"/>
      <c r="N583" s="13"/>
      <c r="O583" s="13"/>
      <c r="P583" s="13"/>
    </row>
    <row r="584" spans="1:16" ht="31" x14ac:dyDescent="0.35">
      <c r="A584" s="5">
        <v>583</v>
      </c>
      <c r="B584" s="6" t="s">
        <v>590</v>
      </c>
      <c r="C584" s="7">
        <v>40</v>
      </c>
      <c r="D584" s="7" t="str">
        <f>VLOOKUP(C584,'5-Genre Codes'!$A$1:$B$11,2,FALSE)</f>
        <v>Fantasy</v>
      </c>
      <c r="E584" s="8">
        <v>1964</v>
      </c>
      <c r="F584" s="6">
        <v>14560</v>
      </c>
      <c r="G584" s="6" t="str">
        <f>VLOOKUP(F584,'4-Actor Codes'!$A$1:$B$622,2,FALSE)</f>
        <v>Julie Andrews</v>
      </c>
      <c r="H584" s="8" t="s">
        <v>10</v>
      </c>
      <c r="I584" s="9">
        <v>102300000</v>
      </c>
      <c r="J584" s="10">
        <v>104658260</v>
      </c>
      <c r="L584" s="10">
        <v>60000000</v>
      </c>
      <c r="M584" s="13"/>
      <c r="N584" s="13"/>
      <c r="O584" s="13"/>
      <c r="P584" s="13"/>
    </row>
    <row r="585" spans="1:16" ht="31" x14ac:dyDescent="0.35">
      <c r="A585" s="5">
        <v>584</v>
      </c>
      <c r="B585" s="6" t="s">
        <v>591</v>
      </c>
      <c r="C585" s="7">
        <v>40</v>
      </c>
      <c r="D585" s="7" t="str">
        <f>VLOOKUP(C585,'5-Genre Codes'!$A$1:$B$11,2,FALSE)</f>
        <v>Fantasy</v>
      </c>
      <c r="E585" s="8">
        <v>2008</v>
      </c>
      <c r="F585" s="6">
        <v>11035</v>
      </c>
      <c r="G585" s="6" t="str">
        <f>VLOOKUP(F585,'4-Actor Codes'!$A$1:$B$622,2,FALSE)</f>
        <v>Brendan Fraser</v>
      </c>
      <c r="H585" s="8" t="s">
        <v>13</v>
      </c>
      <c r="I585" s="9">
        <v>102277510</v>
      </c>
      <c r="J585" s="10">
        <v>303268449</v>
      </c>
      <c r="L585" s="10">
        <v>175000000</v>
      </c>
      <c r="M585" s="13"/>
      <c r="N585" s="13"/>
      <c r="O585" s="13"/>
      <c r="P585" s="13"/>
    </row>
    <row r="586" spans="1:16" ht="31" x14ac:dyDescent="0.35">
      <c r="A586" s="5">
        <v>585</v>
      </c>
      <c r="B586" s="6" t="s">
        <v>592</v>
      </c>
      <c r="C586" s="7">
        <v>30</v>
      </c>
      <c r="D586" s="7" t="str">
        <f>VLOOKUP(C586,'5-Genre Codes'!$A$1:$B$11,2,FALSE)</f>
        <v>Factual</v>
      </c>
      <c r="E586" s="8">
        <v>2013</v>
      </c>
      <c r="F586" s="6">
        <v>14365</v>
      </c>
      <c r="G586" s="6" t="str">
        <f>VLOOKUP(F586,'4-Actor Codes'!$A$1:$B$622,2,FALSE)</f>
        <v>Johnny Knoxville</v>
      </c>
      <c r="H586" s="8" t="s">
        <v>10</v>
      </c>
      <c r="I586" s="9">
        <v>102003019</v>
      </c>
      <c r="J586" s="10">
        <v>58900000</v>
      </c>
      <c r="L586" s="10">
        <v>15000000</v>
      </c>
      <c r="M586" s="13"/>
      <c r="N586" s="13"/>
      <c r="O586" s="13"/>
      <c r="P586" s="13"/>
    </row>
    <row r="587" spans="1:16" ht="31" x14ac:dyDescent="0.35">
      <c r="A587" s="5">
        <v>586</v>
      </c>
      <c r="B587" s="6" t="s">
        <v>593</v>
      </c>
      <c r="C587" s="7">
        <v>80</v>
      </c>
      <c r="D587" s="7" t="str">
        <f>VLOOKUP(C587,'5-Genre Codes'!$A$1:$B$11,2,FALSE)</f>
        <v>Science Fiction</v>
      </c>
      <c r="E587" s="8">
        <v>2013</v>
      </c>
      <c r="F587" s="6">
        <v>12220</v>
      </c>
      <c r="G587" s="6" t="str">
        <f>VLOOKUP(F587,'4-Actor Codes'!$A$1:$B$622,2,FALSE)</f>
        <v>Diego Klattenhoff</v>
      </c>
      <c r="H587" s="8" t="s">
        <v>10</v>
      </c>
      <c r="I587" s="9">
        <v>101802906</v>
      </c>
      <c r="J587" s="10">
        <v>309200000</v>
      </c>
      <c r="L587" s="10">
        <v>190000000</v>
      </c>
      <c r="M587" s="13"/>
      <c r="N587" s="13"/>
      <c r="O587" s="13"/>
      <c r="P587" s="13"/>
    </row>
    <row r="588" spans="1:16" ht="31" x14ac:dyDescent="0.35">
      <c r="A588" s="5">
        <v>587</v>
      </c>
      <c r="B588" s="6" t="s">
        <v>594</v>
      </c>
      <c r="C588" s="7">
        <v>10</v>
      </c>
      <c r="D588" s="7" t="str">
        <f>VLOOKUP(C588,'5-Genre Codes'!$A$1:$B$11,2,FALSE)</f>
        <v>Contemporary Fiction</v>
      </c>
      <c r="E588" s="8">
        <v>1999</v>
      </c>
      <c r="F588" s="6">
        <v>11440</v>
      </c>
      <c r="G588" s="6" t="str">
        <f>VLOOKUP(F588,'4-Actor Codes'!$A$1:$B$622,2,FALSE)</f>
        <v>Chris Weitz</v>
      </c>
      <c r="H588" s="8" t="s">
        <v>10</v>
      </c>
      <c r="I588" s="9">
        <v>101800948</v>
      </c>
      <c r="J588" s="10">
        <v>132922200</v>
      </c>
      <c r="L588" s="10">
        <v>12000000</v>
      </c>
      <c r="M588" s="13"/>
      <c r="N588" s="13"/>
      <c r="O588" s="13"/>
      <c r="P588" s="13"/>
    </row>
    <row r="589" spans="1:16" x14ac:dyDescent="0.35">
      <c r="A589" s="5">
        <v>588</v>
      </c>
      <c r="B589" s="6" t="s">
        <v>595</v>
      </c>
      <c r="C589" s="7">
        <v>80</v>
      </c>
      <c r="D589" s="7" t="str">
        <f>VLOOKUP(C589,'5-Genre Codes'!$A$1:$B$11,2,FALSE)</f>
        <v>Science Fiction</v>
      </c>
      <c r="E589" s="8">
        <v>2008</v>
      </c>
      <c r="F589" s="6">
        <v>10360</v>
      </c>
      <c r="G589" s="6" t="str">
        <f>VLOOKUP(F589,'4-Actor Codes'!$A$1:$B$622,2,FALSE)</f>
        <v>Anita Briem</v>
      </c>
      <c r="H589" s="8" t="s">
        <v>10</v>
      </c>
      <c r="I589" s="9">
        <v>101704370</v>
      </c>
      <c r="J589" s="10">
        <v>141476567</v>
      </c>
      <c r="L589" s="10">
        <v>45000000</v>
      </c>
      <c r="M589" s="13"/>
      <c r="N589" s="13"/>
      <c r="O589" s="13"/>
      <c r="P589" s="13"/>
    </row>
    <row r="590" spans="1:16" ht="31" x14ac:dyDescent="0.35">
      <c r="A590" s="5">
        <v>589</v>
      </c>
      <c r="B590" s="6" t="s">
        <v>596</v>
      </c>
      <c r="C590" s="7">
        <v>10</v>
      </c>
      <c r="D590" s="7" t="str">
        <f>VLOOKUP(C590,'5-Genre Codes'!$A$1:$B$11,2,FALSE)</f>
        <v>Contemporary Fiction</v>
      </c>
      <c r="E590" s="8">
        <v>2000</v>
      </c>
      <c r="F590" s="6">
        <v>16465</v>
      </c>
      <c r="G590" s="6" t="str">
        <f>VLOOKUP(F590,'4-Actor Codes'!$A$1:$B$622,2,FALSE)</f>
        <v>Nicolas Cage</v>
      </c>
      <c r="H590" s="8" t="s">
        <v>10</v>
      </c>
      <c r="I590" s="9">
        <v>101643008</v>
      </c>
      <c r="J590" s="10">
        <v>131000000</v>
      </c>
      <c r="L590" s="10">
        <v>103300000</v>
      </c>
      <c r="M590" s="13"/>
      <c r="N590" s="13"/>
      <c r="O590" s="13"/>
      <c r="P590" s="13"/>
    </row>
    <row r="591" spans="1:16" ht="31" x14ac:dyDescent="0.35">
      <c r="A591" s="5">
        <v>590</v>
      </c>
      <c r="B591" s="6" t="s">
        <v>597</v>
      </c>
      <c r="C591" s="7">
        <v>10</v>
      </c>
      <c r="D591" s="7" t="str">
        <f>VLOOKUP(C591,'5-Genre Codes'!$A$1:$B$11,2,FALSE)</f>
        <v>Contemporary Fiction</v>
      </c>
      <c r="E591" s="8">
        <v>2011</v>
      </c>
      <c r="F591" s="6">
        <v>12115</v>
      </c>
      <c r="G591" s="6" t="str">
        <f>VLOOKUP(F591,'4-Actor Codes'!$A$1:$B$622,2,FALSE)</f>
        <v>Denzel Washington</v>
      </c>
      <c r="H591" s="8" t="s">
        <v>10</v>
      </c>
      <c r="I591" s="9">
        <v>101530738</v>
      </c>
      <c r="J591" s="10">
        <v>90634545</v>
      </c>
      <c r="L591" s="10">
        <v>55000000</v>
      </c>
      <c r="M591" s="13"/>
      <c r="N591" s="13"/>
      <c r="O591" s="13"/>
      <c r="P591" s="13"/>
    </row>
    <row r="592" spans="1:16" ht="31" x14ac:dyDescent="0.35">
      <c r="A592" s="5">
        <v>591</v>
      </c>
      <c r="B592" s="6" t="s">
        <v>598</v>
      </c>
      <c r="C592" s="7">
        <v>80</v>
      </c>
      <c r="D592" s="7" t="str">
        <f>VLOOKUP(C592,'5-Genre Codes'!$A$1:$B$11,2,FALSE)</f>
        <v>Science Fiction</v>
      </c>
      <c r="E592" s="8">
        <v>2013</v>
      </c>
      <c r="F592" s="6">
        <v>13615</v>
      </c>
      <c r="G592" s="6" t="str">
        <f>VLOOKUP(F592,'4-Actor Codes'!$A$1:$B$622,2,FALSE)</f>
        <v>James Franco</v>
      </c>
      <c r="H592" s="8" t="s">
        <v>10</v>
      </c>
      <c r="I592" s="9">
        <v>101470202</v>
      </c>
      <c r="J592" s="10">
        <v>183615348</v>
      </c>
      <c r="L592" s="10">
        <v>22000000</v>
      </c>
      <c r="M592" s="13"/>
      <c r="N592" s="13"/>
      <c r="O592" s="13"/>
      <c r="P592" s="13"/>
    </row>
    <row r="593" spans="1:16" ht="31" x14ac:dyDescent="0.35">
      <c r="A593" s="5">
        <v>592</v>
      </c>
      <c r="B593" s="6" t="s">
        <v>599</v>
      </c>
      <c r="C593" s="7">
        <v>10</v>
      </c>
      <c r="D593" s="7" t="str">
        <f>VLOOKUP(C593,'5-Genre Codes'!$A$1:$B$11,2,FALSE)</f>
        <v>Contemporary Fiction</v>
      </c>
      <c r="E593" s="8">
        <v>2008</v>
      </c>
      <c r="F593" s="6">
        <v>10465</v>
      </c>
      <c r="G593" s="6" t="str">
        <f>VLOOKUP(F593,'4-Actor Codes'!$A$1:$B$622,2,FALSE)</f>
        <v>Anthony Azizi</v>
      </c>
      <c r="H593" s="8" t="s">
        <v>10</v>
      </c>
      <c r="I593" s="9">
        <v>101440743</v>
      </c>
      <c r="J593" s="10">
        <v>76625826</v>
      </c>
      <c r="L593" s="10">
        <v>80000000</v>
      </c>
      <c r="M593" s="13"/>
      <c r="N593" s="13"/>
      <c r="O593" s="13"/>
      <c r="P593" s="13"/>
    </row>
    <row r="594" spans="1:16" ht="31" x14ac:dyDescent="0.35">
      <c r="A594" s="5">
        <v>593</v>
      </c>
      <c r="B594" s="6" t="s">
        <v>600</v>
      </c>
      <c r="C594" s="7">
        <v>90</v>
      </c>
      <c r="D594" s="7" t="str">
        <f>VLOOKUP(C594,'5-Genre Codes'!$A$1:$B$11,2,FALSE)</f>
        <v>Super Hero</v>
      </c>
      <c r="E594" s="8">
        <v>1981</v>
      </c>
      <c r="F594" s="6">
        <v>18490</v>
      </c>
      <c r="G594" s="6" t="str">
        <f>VLOOKUP(F594,'4-Actor Codes'!$A$1:$B$622,2,FALSE)</f>
        <v>Terence Stamp</v>
      </c>
      <c r="H594" s="8" t="s">
        <v>13</v>
      </c>
      <c r="I594" s="9">
        <v>101347629</v>
      </c>
      <c r="J594" s="10">
        <v>165981982</v>
      </c>
      <c r="L594" s="10">
        <v>55000000</v>
      </c>
      <c r="M594" s="13"/>
      <c r="N594" s="13"/>
      <c r="O594" s="13"/>
      <c r="P594" s="13"/>
    </row>
    <row r="595" spans="1:16" ht="46.5" x14ac:dyDescent="0.35">
      <c r="A595" s="5">
        <v>594</v>
      </c>
      <c r="B595" s="6" t="s">
        <v>601</v>
      </c>
      <c r="C595" s="7">
        <v>10</v>
      </c>
      <c r="D595" s="7" t="str">
        <f>VLOOKUP(C595,'5-Genre Codes'!$A$1:$B$11,2,FALSE)</f>
        <v>Contemporary Fiction</v>
      </c>
      <c r="E595" s="8">
        <v>1997</v>
      </c>
      <c r="F595" s="6">
        <v>17815</v>
      </c>
      <c r="G595" s="6" t="str">
        <f>VLOOKUP(F595,'4-Actor Codes'!$A$1:$B$622,2,FALSE)</f>
        <v>Sarah Michelle Gellar</v>
      </c>
      <c r="H595" s="8" t="s">
        <v>13</v>
      </c>
      <c r="I595" s="9">
        <v>101334374</v>
      </c>
      <c r="J595" s="10">
        <v>70000000</v>
      </c>
      <c r="L595" s="10">
        <v>15000000</v>
      </c>
      <c r="M595" s="13"/>
      <c r="N595" s="13"/>
      <c r="O595" s="13"/>
      <c r="P595" s="13"/>
    </row>
    <row r="596" spans="1:16" ht="31" x14ac:dyDescent="0.35">
      <c r="A596" s="5">
        <v>595</v>
      </c>
      <c r="B596" s="6" t="s">
        <v>602</v>
      </c>
      <c r="C596" s="7">
        <v>10</v>
      </c>
      <c r="D596" s="7" t="str">
        <f>VLOOKUP(C596,'5-Genre Codes'!$A$1:$B$11,2,FALSE)</f>
        <v>Contemporary Fiction</v>
      </c>
      <c r="E596" s="8">
        <v>1980</v>
      </c>
      <c r="F596" s="6">
        <v>11650</v>
      </c>
      <c r="G596" s="6" t="str">
        <f>VLOOKUP(F596,'4-Actor Codes'!$A$1:$B$622,2,FALSE)</f>
        <v>Craig T. Nelson</v>
      </c>
      <c r="H596" s="8" t="s">
        <v>10</v>
      </c>
      <c r="I596" s="9">
        <v>101300000</v>
      </c>
      <c r="J596" s="10">
        <v>68607617</v>
      </c>
      <c r="L596" s="10">
        <v>50000000</v>
      </c>
      <c r="M596" s="13"/>
      <c r="N596" s="13"/>
      <c r="O596" s="13"/>
      <c r="P596" s="13"/>
    </row>
    <row r="597" spans="1:16" ht="31" x14ac:dyDescent="0.35">
      <c r="A597" s="5">
        <v>596</v>
      </c>
      <c r="B597" s="6" t="s">
        <v>603</v>
      </c>
      <c r="C597" s="7">
        <v>10</v>
      </c>
      <c r="D597" s="7" t="str">
        <f>VLOOKUP(C597,'5-Genre Codes'!$A$1:$B$11,2,FALSE)</f>
        <v>Contemporary Fiction</v>
      </c>
      <c r="E597" s="8">
        <v>1996</v>
      </c>
      <c r="F597" s="6">
        <v>16090</v>
      </c>
      <c r="G597" s="6" t="str">
        <f>VLOOKUP(F597,'4-Actor Codes'!$A$1:$B$622,2,FALSE)</f>
        <v>Michael Papajohn</v>
      </c>
      <c r="H597" s="8" t="s">
        <v>10</v>
      </c>
      <c r="I597" s="9">
        <v>101283031</v>
      </c>
      <c r="J597" s="10">
        <v>133104438</v>
      </c>
      <c r="L597" s="10">
        <v>100000000</v>
      </c>
      <c r="M597" s="13"/>
      <c r="N597" s="13"/>
      <c r="O597" s="13"/>
      <c r="P597" s="13"/>
    </row>
    <row r="598" spans="1:16" ht="31" x14ac:dyDescent="0.35">
      <c r="A598" s="5">
        <v>597</v>
      </c>
      <c r="B598" s="6" t="s">
        <v>604</v>
      </c>
      <c r="C598" s="7">
        <v>10</v>
      </c>
      <c r="D598" s="7" t="str">
        <f>VLOOKUP(C598,'5-Genre Codes'!$A$1:$B$11,2,FALSE)</f>
        <v>Contemporary Fiction</v>
      </c>
      <c r="E598" s="8">
        <v>1993</v>
      </c>
      <c r="F598" s="6">
        <v>17200</v>
      </c>
      <c r="G598" s="6" t="str">
        <f>VLOOKUP(F598,'4-Actor Codes'!$A$1:$B$622,2,FALSE)</f>
        <v>Rip Taylor</v>
      </c>
      <c r="H598" s="8" t="s">
        <v>10</v>
      </c>
      <c r="I598" s="9">
        <v>101268255</v>
      </c>
      <c r="J598" s="10">
        <v>159985941</v>
      </c>
      <c r="L598" s="10">
        <v>0</v>
      </c>
      <c r="M598" s="13"/>
      <c r="N598" s="13"/>
      <c r="O598" s="13"/>
      <c r="P598" s="13"/>
    </row>
    <row r="599" spans="1:16" x14ac:dyDescent="0.35">
      <c r="A599" s="5">
        <v>598</v>
      </c>
      <c r="B599" s="6" t="s">
        <v>605</v>
      </c>
      <c r="C599" s="7">
        <v>20</v>
      </c>
      <c r="D599" s="7" t="str">
        <f>VLOOKUP(C599,'5-Genre Codes'!$A$1:$B$11,2,FALSE)</f>
        <v>Dramatization</v>
      </c>
      <c r="E599" s="8">
        <v>1998</v>
      </c>
      <c r="F599" s="6">
        <v>19000</v>
      </c>
      <c r="G599" s="6" t="str">
        <f>VLOOKUP(F599,'4-Actor Codes'!$A$1:$B$622,2,FALSE)</f>
        <v>Val Kilmer</v>
      </c>
      <c r="H599" s="8" t="s">
        <v>10</v>
      </c>
      <c r="I599" s="9">
        <v>101217900</v>
      </c>
      <c r="J599" s="10">
        <v>117200000</v>
      </c>
      <c r="L599" s="10">
        <v>60000000</v>
      </c>
      <c r="M599" s="13"/>
      <c r="N599" s="13"/>
      <c r="O599" s="13"/>
      <c r="P599" s="13"/>
    </row>
    <row r="600" spans="1:16" ht="31" x14ac:dyDescent="0.35">
      <c r="A600" s="5">
        <v>599</v>
      </c>
      <c r="B600" s="6" t="s">
        <v>606</v>
      </c>
      <c r="C600" s="7">
        <v>50</v>
      </c>
      <c r="D600" s="7" t="str">
        <f>VLOOKUP(C600,'5-Genre Codes'!$A$1:$B$11,2,FALSE)</f>
        <v>Historical Fiction</v>
      </c>
      <c r="E600" s="8">
        <v>2014</v>
      </c>
      <c r="F600" s="6">
        <v>17605</v>
      </c>
      <c r="G600" s="6" t="str">
        <f>VLOOKUP(F600,'4-Actor Codes'!$A$1:$B$622,2,FALSE)</f>
        <v>Russell Crowe</v>
      </c>
      <c r="H600" s="8" t="s">
        <v>10</v>
      </c>
      <c r="I600" s="9">
        <v>101200044</v>
      </c>
      <c r="J600" s="10">
        <v>251631021</v>
      </c>
      <c r="L600" s="10">
        <v>130000000</v>
      </c>
      <c r="M600" s="13"/>
      <c r="N600" s="13"/>
      <c r="O600" s="13"/>
      <c r="P600" s="13"/>
    </row>
    <row r="601" spans="1:16" ht="31" x14ac:dyDescent="0.35">
      <c r="A601" s="5">
        <v>600</v>
      </c>
      <c r="B601" s="6" t="s">
        <v>607</v>
      </c>
      <c r="C601" s="7">
        <v>10</v>
      </c>
      <c r="D601" s="7" t="str">
        <f>VLOOKUP(C601,'5-Genre Codes'!$A$1:$B$11,2,FALSE)</f>
        <v>Contemporary Fiction</v>
      </c>
      <c r="E601" s="8">
        <v>1997</v>
      </c>
      <c r="F601" s="6">
        <v>11155</v>
      </c>
      <c r="G601" s="6" t="str">
        <f>VLOOKUP(F601,'4-Actor Codes'!$A$1:$B$622,2,FALSE)</f>
        <v>Carl Ciarfalio</v>
      </c>
      <c r="H601" s="8" t="s">
        <v>10</v>
      </c>
      <c r="I601" s="9">
        <v>101087161</v>
      </c>
      <c r="J601" s="10">
        <v>123000000</v>
      </c>
      <c r="L601" s="10">
        <v>80000000</v>
      </c>
      <c r="M601" s="13"/>
      <c r="N601" s="13"/>
      <c r="O601" s="13"/>
      <c r="P601" s="13"/>
    </row>
    <row r="602" spans="1:16" ht="31" x14ac:dyDescent="0.35">
      <c r="A602" s="5">
        <v>601</v>
      </c>
      <c r="B602" s="6" t="s">
        <v>608</v>
      </c>
      <c r="C602" s="7">
        <v>50</v>
      </c>
      <c r="D602" s="7" t="str">
        <f>VLOOKUP(C602,'5-Genre Codes'!$A$1:$B$11,2,FALSE)</f>
        <v>Historical Fiction</v>
      </c>
      <c r="E602" s="8">
        <v>1999</v>
      </c>
      <c r="F602" s="6">
        <v>14350</v>
      </c>
      <c r="G602" s="6" t="str">
        <f>VLOOKUP(F602,'4-Actor Codes'!$A$1:$B$622,2,FALSE)</f>
        <v>Johnny Depp</v>
      </c>
      <c r="H602" s="8" t="s">
        <v>10</v>
      </c>
      <c r="I602" s="9">
        <v>101068340</v>
      </c>
      <c r="J602" s="10">
        <v>106000000</v>
      </c>
      <c r="L602" s="10">
        <v>70000000</v>
      </c>
      <c r="M602" s="13"/>
      <c r="N602" s="13"/>
      <c r="O602" s="13"/>
      <c r="P602" s="13"/>
    </row>
    <row r="603" spans="1:16" ht="31" x14ac:dyDescent="0.35">
      <c r="A603" s="5">
        <v>602</v>
      </c>
      <c r="B603" s="6" t="s">
        <v>609</v>
      </c>
      <c r="C603" s="7">
        <v>40</v>
      </c>
      <c r="D603" s="7" t="str">
        <f>VLOOKUP(C603,'5-Genre Codes'!$A$1:$B$11,2,FALSE)</f>
        <v>Fantasy</v>
      </c>
      <c r="E603" s="8">
        <v>2003</v>
      </c>
      <c r="F603" s="6">
        <v>12745</v>
      </c>
      <c r="G603" s="6" t="str">
        <f>VLOOKUP(F603,'4-Actor Codes'!$A$1:$B$622,2,FALSE)</f>
        <v>Frank Welker</v>
      </c>
      <c r="H603" s="8" t="s">
        <v>10</v>
      </c>
      <c r="I603" s="9">
        <v>101018283</v>
      </c>
      <c r="J603" s="10">
        <v>32800000</v>
      </c>
      <c r="L603" s="10">
        <v>109000000</v>
      </c>
      <c r="M603" s="13"/>
      <c r="N603" s="13"/>
      <c r="O603" s="13"/>
      <c r="P603" s="13"/>
    </row>
    <row r="604" spans="1:16" ht="31" x14ac:dyDescent="0.35">
      <c r="A604" s="5">
        <v>603</v>
      </c>
      <c r="B604" s="6" t="s">
        <v>610</v>
      </c>
      <c r="C604" s="7">
        <v>50</v>
      </c>
      <c r="D604" s="7" t="str">
        <f>VLOOKUP(C604,'5-Genre Codes'!$A$1:$B$11,2,FALSE)</f>
        <v>Historical Fiction</v>
      </c>
      <c r="E604" s="8">
        <v>1994</v>
      </c>
      <c r="F604" s="6">
        <v>11890</v>
      </c>
      <c r="G604" s="6" t="str">
        <f>VLOOKUP(F604,'4-Actor Codes'!$A$1:$B$622,2,FALSE)</f>
        <v>Danny Glover</v>
      </c>
      <c r="H604" s="8" t="s">
        <v>10</v>
      </c>
      <c r="I604" s="9">
        <v>100919952</v>
      </c>
      <c r="J604" s="10">
        <v>81383965</v>
      </c>
      <c r="L604" s="10">
        <v>0</v>
      </c>
      <c r="M604" s="13"/>
      <c r="N604" s="13"/>
      <c r="O604" s="13"/>
      <c r="P604" s="13"/>
    </row>
    <row r="605" spans="1:16" ht="31" x14ac:dyDescent="0.35">
      <c r="A605" s="5">
        <v>604</v>
      </c>
      <c r="B605" s="6" t="s">
        <v>611</v>
      </c>
      <c r="C605" s="7">
        <v>10</v>
      </c>
      <c r="D605" s="7" t="str">
        <f>VLOOKUP(C605,'5-Genre Codes'!$A$1:$B$11,2,FALSE)</f>
        <v>Contemporary Fiction</v>
      </c>
      <c r="E605" s="8">
        <v>2003</v>
      </c>
      <c r="F605" s="6">
        <v>10900</v>
      </c>
      <c r="G605" s="6" t="str">
        <f>VLOOKUP(F605,'4-Actor Codes'!$A$1:$B$622,2,FALSE)</f>
        <v>Bob Stephenson</v>
      </c>
      <c r="H605" s="8" t="s">
        <v>13</v>
      </c>
      <c r="I605" s="9">
        <v>100814328</v>
      </c>
      <c r="J605" s="10">
        <v>126385672</v>
      </c>
      <c r="L605" s="10">
        <v>120000000</v>
      </c>
      <c r="M605" s="13"/>
      <c r="N605" s="13"/>
      <c r="O605" s="13"/>
      <c r="P605" s="13"/>
    </row>
    <row r="606" spans="1:16" ht="31" x14ac:dyDescent="0.35">
      <c r="A606" s="5">
        <v>605</v>
      </c>
      <c r="B606" s="6" t="s">
        <v>612</v>
      </c>
      <c r="C606" s="7">
        <v>80</v>
      </c>
      <c r="D606" s="7" t="str">
        <f>VLOOKUP(C606,'5-Genre Codes'!$A$1:$B$11,2,FALSE)</f>
        <v>Science Fiction</v>
      </c>
      <c r="E606" s="8">
        <v>1997</v>
      </c>
      <c r="F606" s="6">
        <v>17740</v>
      </c>
      <c r="G606" s="6" t="str">
        <f>VLOOKUP(F606,'4-Actor Codes'!$A$1:$B$622,2,FALSE)</f>
        <v>SaMi Chester</v>
      </c>
      <c r="H606" s="8" t="s">
        <v>10</v>
      </c>
      <c r="I606" s="9">
        <v>100769177</v>
      </c>
      <c r="J606" s="10">
        <v>64979671</v>
      </c>
      <c r="L606" s="10">
        <v>90000000</v>
      </c>
      <c r="M606" s="13"/>
      <c r="N606" s="13"/>
      <c r="O606" s="13"/>
      <c r="P606" s="13"/>
    </row>
    <row r="607" spans="1:16" ht="31" x14ac:dyDescent="0.35">
      <c r="A607" s="5">
        <v>606</v>
      </c>
      <c r="B607" s="6" t="s">
        <v>613</v>
      </c>
      <c r="C607" s="7">
        <v>10</v>
      </c>
      <c r="D607" s="7" t="str">
        <f>VLOOKUP(C607,'5-Genre Codes'!$A$1:$B$11,2,FALSE)</f>
        <v>Contemporary Fiction</v>
      </c>
      <c r="E607" s="8">
        <v>1993</v>
      </c>
      <c r="F607" s="6">
        <v>12115</v>
      </c>
      <c r="G607" s="6" t="str">
        <f>VLOOKUP(F607,'4-Actor Codes'!$A$1:$B$622,2,FALSE)</f>
        <v>Denzel Washington</v>
      </c>
      <c r="H607" s="8" t="s">
        <v>10</v>
      </c>
      <c r="I607" s="9">
        <v>100768056</v>
      </c>
      <c r="J607" s="10">
        <v>87227803</v>
      </c>
      <c r="L607" s="10">
        <v>45000000</v>
      </c>
      <c r="M607" s="13"/>
      <c r="N607" s="13"/>
      <c r="O607" s="13"/>
      <c r="P607" s="13"/>
    </row>
    <row r="608" spans="1:16" ht="31" x14ac:dyDescent="0.35">
      <c r="A608" s="5">
        <v>607</v>
      </c>
      <c r="B608" s="6" t="s">
        <v>614</v>
      </c>
      <c r="C608" s="7">
        <v>10</v>
      </c>
      <c r="D608" s="7" t="str">
        <f>VLOOKUP(C608,'5-Genre Codes'!$A$1:$B$11,2,FALSE)</f>
        <v>Contemporary Fiction</v>
      </c>
      <c r="E608" s="8">
        <v>2001</v>
      </c>
      <c r="F608" s="6">
        <v>18745</v>
      </c>
      <c r="G608" s="6" t="str">
        <f>VLOOKUP(F608,'4-Actor Codes'!$A$1:$B$622,2,FALSE)</f>
        <v>Tom Cruise</v>
      </c>
      <c r="H608" s="8" t="s">
        <v>10</v>
      </c>
      <c r="I608" s="9">
        <v>100614858</v>
      </c>
      <c r="J608" s="10">
        <v>102111747</v>
      </c>
      <c r="L608" s="10">
        <v>70000000</v>
      </c>
      <c r="M608" s="13"/>
      <c r="N608" s="13"/>
      <c r="O608" s="13"/>
      <c r="P608" s="13"/>
    </row>
    <row r="609" spans="1:16" ht="31" x14ac:dyDescent="0.35">
      <c r="A609" s="5">
        <v>608</v>
      </c>
      <c r="B609" s="6" t="s">
        <v>615</v>
      </c>
      <c r="C609" s="7">
        <v>10</v>
      </c>
      <c r="D609" s="7" t="str">
        <f>VLOOKUP(C609,'5-Genre Codes'!$A$1:$B$11,2,FALSE)</f>
        <v>Contemporary Fiction</v>
      </c>
      <c r="E609" s="8">
        <v>2010</v>
      </c>
      <c r="F609" s="6">
        <v>13735</v>
      </c>
      <c r="G609" s="6" t="str">
        <f>VLOOKUP(F609,'4-Actor Codes'!$A$1:$B$622,2,FALSE)</f>
        <v>Jamie Foxx</v>
      </c>
      <c r="H609" s="8" t="s">
        <v>10</v>
      </c>
      <c r="I609" s="9">
        <v>100539043</v>
      </c>
      <c r="J609" s="10">
        <v>111200000</v>
      </c>
      <c r="L609" s="10">
        <v>65000000</v>
      </c>
      <c r="M609" s="13"/>
      <c r="N609" s="13"/>
      <c r="O609" s="13"/>
      <c r="P609" s="13"/>
    </row>
    <row r="610" spans="1:16" x14ac:dyDescent="0.35">
      <c r="A610" s="5">
        <v>609</v>
      </c>
      <c r="B610" s="6" t="s">
        <v>616</v>
      </c>
      <c r="C610" s="7">
        <v>60</v>
      </c>
      <c r="D610" s="7" t="str">
        <f>VLOOKUP(C610,'5-Genre Codes'!$A$1:$B$11,2,FALSE)</f>
        <v>Kids Fiction</v>
      </c>
      <c r="E610" s="8">
        <v>1998</v>
      </c>
      <c r="F610" s="6">
        <v>14245</v>
      </c>
      <c r="G610" s="6" t="str">
        <f>VLOOKUP(F610,'4-Actor Codes'!$A$1:$B$622,2,FALSE)</f>
        <v>Joe Alaskey</v>
      </c>
      <c r="H610" s="8" t="s">
        <v>10</v>
      </c>
      <c r="I610" s="9">
        <v>100491683</v>
      </c>
      <c r="J610" s="10">
        <v>40400000</v>
      </c>
      <c r="L610" s="10">
        <v>28000000</v>
      </c>
      <c r="M610" s="13"/>
      <c r="N610" s="13"/>
      <c r="O610" s="13"/>
      <c r="P610" s="13"/>
    </row>
    <row r="611" spans="1:16" ht="31" x14ac:dyDescent="0.35">
      <c r="A611" s="5">
        <v>610</v>
      </c>
      <c r="B611" s="6" t="s">
        <v>617</v>
      </c>
      <c r="C611" s="7">
        <v>10</v>
      </c>
      <c r="D611" s="7" t="str">
        <f>VLOOKUP(C611,'5-Genre Codes'!$A$1:$B$11,2,FALSE)</f>
        <v>Contemporary Fiction</v>
      </c>
      <c r="E611" s="8">
        <v>1970</v>
      </c>
      <c r="F611" s="6">
        <v>15505</v>
      </c>
      <c r="G611" s="6" t="str">
        <f>VLOOKUP(F611,'4-Actor Codes'!$A$1:$B$622,2,FALSE)</f>
        <v>Marion Ross</v>
      </c>
      <c r="H611" s="8" t="s">
        <v>10</v>
      </c>
      <c r="I611" s="9">
        <v>100489150</v>
      </c>
      <c r="J611" s="10">
        <v>142311944</v>
      </c>
      <c r="L611" s="10">
        <v>85000000</v>
      </c>
      <c r="M611" s="13"/>
      <c r="N611" s="13"/>
      <c r="O611" s="13"/>
      <c r="P611" s="13"/>
    </row>
    <row r="612" spans="1:16" ht="31" x14ac:dyDescent="0.35">
      <c r="A612" s="5">
        <v>611</v>
      </c>
      <c r="B612" s="6" t="s">
        <v>618</v>
      </c>
      <c r="C612" s="7">
        <v>10</v>
      </c>
      <c r="D612" s="7" t="str">
        <f>VLOOKUP(C612,'5-Genre Codes'!$A$1:$B$11,2,FALSE)</f>
        <v>Contemporary Fiction</v>
      </c>
      <c r="E612" s="8">
        <v>2008</v>
      </c>
      <c r="F612" s="6">
        <v>19135</v>
      </c>
      <c r="G612" s="6" t="str">
        <f>VLOOKUP(F612,'4-Actor Codes'!$A$1:$B$622,2,FALSE)</f>
        <v>Will Ferrell</v>
      </c>
      <c r="H612" s="8" t="s">
        <v>10</v>
      </c>
      <c r="I612" s="9">
        <v>100468793</v>
      </c>
      <c r="J612" s="10">
        <v>82000000</v>
      </c>
      <c r="L612" s="10">
        <v>60000000</v>
      </c>
      <c r="M612" s="13"/>
      <c r="N612" s="13"/>
      <c r="O612" s="13"/>
      <c r="P612" s="13"/>
    </row>
    <row r="613" spans="1:16" ht="31" x14ac:dyDescent="0.35">
      <c r="A613" s="5">
        <v>612</v>
      </c>
      <c r="B613" s="6" t="s">
        <v>619</v>
      </c>
      <c r="C613" s="7">
        <v>10</v>
      </c>
      <c r="D613" s="7" t="str">
        <f>VLOOKUP(C613,'5-Genre Codes'!$A$1:$B$11,2,FALSE)</f>
        <v>Contemporary Fiction</v>
      </c>
      <c r="E613" s="8">
        <v>2004</v>
      </c>
      <c r="F613" s="6">
        <v>13240</v>
      </c>
      <c r="G613" s="6" t="str">
        <f>VLOOKUP(F613,'4-Actor Codes'!$A$1:$B$622,2,FALSE)</f>
        <v>Hilary Swank</v>
      </c>
      <c r="H613" s="8" t="s">
        <v>10</v>
      </c>
      <c r="I613" s="9">
        <v>100422786</v>
      </c>
      <c r="J613" s="10">
        <v>131524199</v>
      </c>
      <c r="K613" s="11" t="s">
        <v>1010</v>
      </c>
      <c r="L613" s="10">
        <v>30000000</v>
      </c>
      <c r="M613" s="13"/>
      <c r="N613" s="13"/>
      <c r="O613" s="13"/>
      <c r="P613" s="13"/>
    </row>
    <row r="614" spans="1:16" ht="31" x14ac:dyDescent="0.35">
      <c r="A614" s="5">
        <v>613</v>
      </c>
      <c r="B614" s="6" t="s">
        <v>620</v>
      </c>
      <c r="C614" s="7">
        <v>10</v>
      </c>
      <c r="D614" s="7" t="str">
        <f>VLOOKUP(C614,'5-Genre Codes'!$A$1:$B$11,2,FALSE)</f>
        <v>Contemporary Fiction</v>
      </c>
      <c r="E614" s="8">
        <v>1980</v>
      </c>
      <c r="F614" s="6">
        <v>13750</v>
      </c>
      <c r="G614" s="6" t="str">
        <f>VLOOKUP(F614,'4-Actor Codes'!$A$1:$B$622,2,FALSE)</f>
        <v>Jane Fonda</v>
      </c>
      <c r="H614" s="8" t="s">
        <v>10</v>
      </c>
      <c r="I614" s="9">
        <v>100409707</v>
      </c>
      <c r="J614" s="10">
        <v>68825698</v>
      </c>
      <c r="L614" s="10">
        <v>0</v>
      </c>
      <c r="M614" s="13"/>
      <c r="N614" s="13"/>
      <c r="O614" s="13"/>
      <c r="P614" s="13"/>
    </row>
    <row r="615" spans="1:16" ht="31" x14ac:dyDescent="0.35">
      <c r="A615" s="5">
        <v>614</v>
      </c>
      <c r="B615" s="6" t="s">
        <v>621</v>
      </c>
      <c r="C615" s="7">
        <v>10</v>
      </c>
      <c r="D615" s="7" t="str">
        <f>VLOOKUP(C615,'5-Genre Codes'!$A$1:$B$11,2,FALSE)</f>
        <v>Contemporary Fiction</v>
      </c>
      <c r="E615" s="8">
        <v>2011</v>
      </c>
      <c r="F615" s="6">
        <v>11140</v>
      </c>
      <c r="G615" s="6" t="str">
        <f>VLOOKUP(F615,'4-Actor Codes'!$A$1:$B$622,2,FALSE)</f>
        <v>Cameron Diaz</v>
      </c>
      <c r="H615" s="8" t="s">
        <v>10</v>
      </c>
      <c r="I615" s="9">
        <v>100292856</v>
      </c>
      <c r="J615" s="10">
        <v>115156141</v>
      </c>
      <c r="L615" s="10">
        <v>19000000</v>
      </c>
      <c r="M615" s="13"/>
      <c r="N615" s="13"/>
      <c r="O615" s="13"/>
      <c r="P615" s="13"/>
    </row>
    <row r="616" spans="1:16" ht="31" x14ac:dyDescent="0.35">
      <c r="A616" s="5">
        <v>615</v>
      </c>
      <c r="B616" s="6" t="s">
        <v>622</v>
      </c>
      <c r="C616" s="7">
        <v>40</v>
      </c>
      <c r="D616" s="7" t="str">
        <f>VLOOKUP(C616,'5-Genre Codes'!$A$1:$B$11,2,FALSE)</f>
        <v>Fantasy</v>
      </c>
      <c r="E616" s="8">
        <v>2007</v>
      </c>
      <c r="F616" s="6">
        <v>13030</v>
      </c>
      <c r="G616" s="6" t="str">
        <f>VLOOKUP(F616,'4-Actor Codes'!$A$1:$B$622,2,FALSE)</f>
        <v>Graham Phillips</v>
      </c>
      <c r="H616" s="8" t="s">
        <v>13</v>
      </c>
      <c r="I616" s="9">
        <v>100289690</v>
      </c>
      <c r="J616" s="10">
        <v>73841639</v>
      </c>
      <c r="L616" s="10">
        <v>175000000</v>
      </c>
      <c r="M616" s="13"/>
      <c r="N616" s="13"/>
      <c r="O616" s="13"/>
      <c r="P616" s="13"/>
    </row>
    <row r="617" spans="1:16" x14ac:dyDescent="0.35">
      <c r="A617" s="5">
        <v>616</v>
      </c>
      <c r="B617" s="6" t="s">
        <v>623</v>
      </c>
      <c r="C617" s="7">
        <v>60</v>
      </c>
      <c r="D617" s="7" t="str">
        <f>VLOOKUP(C617,'5-Genre Codes'!$A$1:$B$11,2,FALSE)</f>
        <v>Kids Fiction</v>
      </c>
      <c r="E617" s="8">
        <v>2010</v>
      </c>
      <c r="F617" s="6">
        <v>10375</v>
      </c>
      <c r="G617" s="6" t="str">
        <f>VLOOKUP(F617,'4-Actor Codes'!$A$1:$B$622,2,FALSE)</f>
        <v>Anna Faris</v>
      </c>
      <c r="H617" s="8" t="s">
        <v>10</v>
      </c>
      <c r="I617" s="9">
        <v>100246011</v>
      </c>
      <c r="J617" s="10">
        <v>104528679</v>
      </c>
      <c r="L617" s="10">
        <v>80000000</v>
      </c>
      <c r="M617" s="13"/>
      <c r="N617" s="13"/>
      <c r="O617" s="13"/>
      <c r="P617" s="13"/>
    </row>
    <row r="618" spans="1:16" ht="31" x14ac:dyDescent="0.35">
      <c r="A618" s="5">
        <v>617</v>
      </c>
      <c r="B618" s="6" t="s">
        <v>624</v>
      </c>
      <c r="C618" s="7">
        <v>50</v>
      </c>
      <c r="D618" s="7" t="str">
        <f>VLOOKUP(C618,'5-Genre Codes'!$A$1:$B$11,2,FALSE)</f>
        <v>Historical Fiction</v>
      </c>
      <c r="E618" s="8">
        <v>1998</v>
      </c>
      <c r="F618" s="6">
        <v>14455</v>
      </c>
      <c r="G618" s="6" t="str">
        <f>VLOOKUP(F618,'4-Actor Codes'!$A$1:$B$622,2,FALSE)</f>
        <v>Joseph Fiennes</v>
      </c>
      <c r="H618" s="8" t="s">
        <v>10</v>
      </c>
      <c r="I618" s="9">
        <v>100241322</v>
      </c>
      <c r="J618" s="10">
        <v>179182206</v>
      </c>
      <c r="K618" s="11" t="s">
        <v>1010</v>
      </c>
      <c r="L618" s="10">
        <v>26000000</v>
      </c>
      <c r="M618" s="13"/>
      <c r="N618" s="13"/>
      <c r="O618" s="13"/>
      <c r="P618" s="13"/>
    </row>
    <row r="619" spans="1:16" x14ac:dyDescent="0.35">
      <c r="A619" s="5">
        <v>618</v>
      </c>
      <c r="B619" s="6" t="s">
        <v>625</v>
      </c>
      <c r="C619" s="7">
        <v>80</v>
      </c>
      <c r="D619" s="7" t="str">
        <f>VLOOKUP(C619,'5-Genre Codes'!$A$1:$B$11,2,FALSE)</f>
        <v>Science Fiction</v>
      </c>
      <c r="E619" s="8">
        <v>2011</v>
      </c>
      <c r="F619" s="6">
        <v>16585</v>
      </c>
      <c r="G619" s="6" t="str">
        <f>VLOOKUP(F619,'4-Actor Codes'!$A$1:$B$622,2,FALSE)</f>
        <v>Olivia Wilde</v>
      </c>
      <c r="H619" s="8" t="s">
        <v>10</v>
      </c>
      <c r="I619" s="9">
        <v>100240551</v>
      </c>
      <c r="J619" s="10">
        <v>75669764</v>
      </c>
      <c r="L619" s="10">
        <v>163000000</v>
      </c>
      <c r="M619" s="13"/>
      <c r="N619" s="13"/>
      <c r="O619" s="13"/>
      <c r="P619" s="13"/>
    </row>
    <row r="620" spans="1:16" x14ac:dyDescent="0.35">
      <c r="A620" s="5">
        <v>619</v>
      </c>
      <c r="B620" s="6" t="s">
        <v>626</v>
      </c>
      <c r="C620" s="7">
        <v>40</v>
      </c>
      <c r="D620" s="7" t="str">
        <f>VLOOKUP(C620,'5-Genre Codes'!$A$1:$B$11,2,FALSE)</f>
        <v>Fantasy</v>
      </c>
      <c r="E620" s="8">
        <v>1995</v>
      </c>
      <c r="F620" s="6">
        <v>16345</v>
      </c>
      <c r="G620" s="6" t="str">
        <f>VLOOKUP(F620,'4-Actor Codes'!$A$1:$B$622,2,FALSE)</f>
        <v>Mr. Rogers</v>
      </c>
      <c r="H620" s="8" t="s">
        <v>10</v>
      </c>
      <c r="I620" s="9">
        <v>100237375</v>
      </c>
      <c r="J620" s="10">
        <v>181971806</v>
      </c>
      <c r="L620" s="10">
        <v>55000000</v>
      </c>
      <c r="M620" s="13"/>
      <c r="N620" s="13"/>
      <c r="O620" s="13"/>
      <c r="P620" s="13"/>
    </row>
    <row r="621" spans="1:16" x14ac:dyDescent="0.35">
      <c r="A621" s="5">
        <v>620</v>
      </c>
      <c r="B621" s="6" t="s">
        <v>627</v>
      </c>
      <c r="C621" s="7">
        <v>80</v>
      </c>
      <c r="D621" s="7" t="str">
        <f>VLOOKUP(C621,'5-Genre Codes'!$A$1:$B$11,2,FALSE)</f>
        <v>Science Fiction</v>
      </c>
      <c r="E621" s="8">
        <v>2011</v>
      </c>
      <c r="F621" s="6">
        <v>10840</v>
      </c>
      <c r="G621" s="6" t="str">
        <f>VLOOKUP(F621,'4-Actor Codes'!$A$1:$B$622,2,FALSE)</f>
        <v>Bill Paxton</v>
      </c>
      <c r="H621" s="8" t="s">
        <v>10</v>
      </c>
      <c r="I621" s="9">
        <v>100206256</v>
      </c>
      <c r="J621" s="10">
        <v>264200000</v>
      </c>
      <c r="L621" s="10">
        <v>178000000</v>
      </c>
      <c r="M621" s="13"/>
      <c r="N621" s="13"/>
      <c r="O621" s="13"/>
      <c r="P621" s="13"/>
    </row>
    <row r="622" spans="1:16" ht="31" x14ac:dyDescent="0.35">
      <c r="A622" s="5">
        <v>621</v>
      </c>
      <c r="B622" s="6" t="s">
        <v>628</v>
      </c>
      <c r="C622" s="7">
        <v>10</v>
      </c>
      <c r="D622" s="7" t="str">
        <f>VLOOKUP(C622,'5-Genre Codes'!$A$1:$B$11,2,FALSE)</f>
        <v>Contemporary Fiction</v>
      </c>
      <c r="E622" s="8">
        <v>2004</v>
      </c>
      <c r="F622" s="6">
        <v>13330</v>
      </c>
      <c r="G622" s="6" t="str">
        <f>VLOOKUP(F622,'4-Actor Codes'!$A$1:$B$622,2,FALSE)</f>
        <v>Irma P. Hall</v>
      </c>
      <c r="H622" s="8" t="s">
        <v>10</v>
      </c>
      <c r="I622" s="9">
        <v>100170152</v>
      </c>
      <c r="J622" s="10">
        <v>117500000</v>
      </c>
      <c r="L622" s="10">
        <v>60000000</v>
      </c>
      <c r="M622" s="13"/>
      <c r="N622" s="13"/>
      <c r="O622" s="13"/>
      <c r="P622" s="13"/>
    </row>
    <row r="623" spans="1:16" x14ac:dyDescent="0.35">
      <c r="A623" s="5">
        <v>622</v>
      </c>
      <c r="B623" s="6" t="s">
        <v>629</v>
      </c>
      <c r="C623" s="7">
        <v>50</v>
      </c>
      <c r="D623" s="7" t="str">
        <f>VLOOKUP(C623,'5-Genre Codes'!$A$1:$B$11,2,FALSE)</f>
        <v>Historical Fiction</v>
      </c>
      <c r="E623" s="8">
        <v>1996</v>
      </c>
      <c r="F623" s="6">
        <v>14695</v>
      </c>
      <c r="G623" s="6" t="str">
        <f>VLOOKUP(F623,'4-Actor Codes'!$A$1:$B$622,2,FALSE)</f>
        <v>Kath Soucie</v>
      </c>
      <c r="H623" s="8" t="s">
        <v>10</v>
      </c>
      <c r="I623" s="9">
        <v>100117603</v>
      </c>
      <c r="J623" s="10">
        <v>225361149</v>
      </c>
      <c r="L623" s="10">
        <v>100000000</v>
      </c>
      <c r="M623" s="13"/>
      <c r="N623" s="13"/>
      <c r="O623" s="13"/>
      <c r="P623" s="13"/>
    </row>
    <row r="624" spans="1:16" ht="31" x14ac:dyDescent="0.35">
      <c r="A624" s="5">
        <v>623</v>
      </c>
      <c r="B624" s="6" t="s">
        <v>630</v>
      </c>
      <c r="C624" s="7">
        <v>40</v>
      </c>
      <c r="D624" s="7" t="str">
        <f>VLOOKUP(C624,'5-Genre Codes'!$A$1:$B$11,2,FALSE)</f>
        <v>Fantasy</v>
      </c>
      <c r="E624" s="8">
        <v>1995</v>
      </c>
      <c r="F624" s="6">
        <v>10960</v>
      </c>
      <c r="G624" s="6" t="str">
        <f>VLOOKUP(F624,'4-Actor Codes'!$A$1:$B$622,2,FALSE)</f>
        <v>Bradley Pierce</v>
      </c>
      <c r="H624" s="8" t="s">
        <v>10</v>
      </c>
      <c r="I624" s="9">
        <v>100109938</v>
      </c>
      <c r="J624" s="10">
        <v>162300000</v>
      </c>
      <c r="L624" s="10">
        <v>65000000</v>
      </c>
      <c r="M624" s="13"/>
      <c r="N624" s="13"/>
      <c r="O624" s="13"/>
      <c r="P624" s="13"/>
    </row>
    <row r="625" spans="1:16" ht="31" x14ac:dyDescent="0.35">
      <c r="A625" s="5">
        <v>624</v>
      </c>
      <c r="B625" s="6" t="s">
        <v>631</v>
      </c>
      <c r="C625" s="7">
        <v>10</v>
      </c>
      <c r="D625" s="7" t="str">
        <f>VLOOKUP(C625,'5-Genre Codes'!$A$1:$B$11,2,FALSE)</f>
        <v>Contemporary Fiction</v>
      </c>
      <c r="E625" s="8">
        <v>1995</v>
      </c>
      <c r="F625" s="6">
        <v>14575</v>
      </c>
      <c r="G625" s="6" t="str">
        <f>VLOOKUP(F625,'4-Actor Codes'!$A$1:$B$622,2,FALSE)</f>
        <v>Julie Araskog</v>
      </c>
      <c r="H625" s="8" t="s">
        <v>10</v>
      </c>
      <c r="I625" s="9">
        <v>100058010</v>
      </c>
      <c r="J625" s="10">
        <v>228000000</v>
      </c>
      <c r="L625" s="10">
        <v>30000000</v>
      </c>
      <c r="M625" s="13"/>
      <c r="N625" s="13"/>
      <c r="O625" s="13"/>
      <c r="P625" s="13"/>
    </row>
    <row r="626" spans="1:16" ht="31" x14ac:dyDescent="0.35">
      <c r="A626" s="5">
        <v>625</v>
      </c>
      <c r="B626" s="6" t="s">
        <v>632</v>
      </c>
      <c r="C626" s="7">
        <v>10</v>
      </c>
      <c r="D626" s="7" t="str">
        <f>VLOOKUP(C626,'5-Genre Codes'!$A$1:$B$11,2,FALSE)</f>
        <v>Contemporary Fiction</v>
      </c>
      <c r="E626" s="8">
        <v>2008</v>
      </c>
      <c r="F626" s="6">
        <v>10015</v>
      </c>
      <c r="G626" s="6" t="str">
        <f>VLOOKUP(F626,'4-Actor Codes'!$A$1:$B$622,2,FALSE)</f>
        <v>Adam Sandler</v>
      </c>
      <c r="H626" s="8" t="s">
        <v>10</v>
      </c>
      <c r="I626" s="9">
        <v>100018837</v>
      </c>
      <c r="J626" s="10">
        <v>102892154</v>
      </c>
      <c r="L626" s="10">
        <v>90000000</v>
      </c>
      <c r="M626" s="13"/>
      <c r="N626" s="13"/>
      <c r="O626" s="13"/>
      <c r="P626" s="13"/>
    </row>
    <row r="627" spans="1:16" ht="31" x14ac:dyDescent="0.35">
      <c r="A627" s="5">
        <v>626</v>
      </c>
      <c r="B627" s="6" t="s">
        <v>633</v>
      </c>
      <c r="C627" s="7">
        <v>10</v>
      </c>
      <c r="D627" s="7" t="str">
        <f>VLOOKUP(C627,'5-Genre Codes'!$A$1:$B$11,2,FALSE)</f>
        <v>Contemporary Fiction</v>
      </c>
      <c r="E627" s="8">
        <v>1993</v>
      </c>
      <c r="F627" s="6">
        <v>11155</v>
      </c>
      <c r="G627" s="6" t="str">
        <f>VLOOKUP(F627,'4-Actor Codes'!$A$1:$B$622,2,FALSE)</f>
        <v>Carl Ciarfalio</v>
      </c>
      <c r="H627" s="8" t="s">
        <v>10</v>
      </c>
      <c r="I627" s="9">
        <v>100013224</v>
      </c>
      <c r="J627" s="10">
        <v>85100000</v>
      </c>
      <c r="L627" s="10">
        <v>0</v>
      </c>
      <c r="M627" s="13"/>
      <c r="N627" s="13"/>
      <c r="O627" s="13"/>
      <c r="P627" s="13"/>
    </row>
    <row r="628" spans="1:16" ht="31" x14ac:dyDescent="0.35">
      <c r="A628" s="5">
        <v>627</v>
      </c>
      <c r="B628" s="6" t="s">
        <v>634</v>
      </c>
      <c r="C628" s="7">
        <v>10</v>
      </c>
      <c r="D628" s="7" t="str">
        <f>VLOOKUP(C628,'5-Genre Codes'!$A$1:$B$11,2,FALSE)</f>
        <v>Contemporary Fiction</v>
      </c>
      <c r="E628" s="8">
        <v>1995</v>
      </c>
      <c r="F628" s="6">
        <v>15070</v>
      </c>
      <c r="G628" s="6" t="str">
        <f>VLOOKUP(F628,'4-Actor Codes'!$A$1:$B$622,2,FALSE)</f>
        <v>Larry Bryggman</v>
      </c>
      <c r="H628" s="8" t="s">
        <v>13</v>
      </c>
      <c r="I628" s="9">
        <v>99983259</v>
      </c>
      <c r="J628" s="10">
        <v>266089167</v>
      </c>
      <c r="L628" s="10">
        <v>90000000</v>
      </c>
      <c r="M628" s="13"/>
      <c r="N628" s="13"/>
      <c r="O628" s="13"/>
      <c r="P628" s="13"/>
    </row>
    <row r="629" spans="1:16" ht="31" x14ac:dyDescent="0.35">
      <c r="A629" s="5">
        <v>628</v>
      </c>
      <c r="B629" s="6" t="s">
        <v>635</v>
      </c>
      <c r="C629" s="7">
        <v>40</v>
      </c>
      <c r="D629" s="7" t="str">
        <f>VLOOKUP(C629,'5-Genre Codes'!$A$1:$B$11,2,FALSE)</f>
        <v>Fantasy</v>
      </c>
      <c r="E629" s="8">
        <v>2010</v>
      </c>
      <c r="F629" s="6">
        <v>13675</v>
      </c>
      <c r="G629" s="6" t="str">
        <f>VLOOKUP(F629,'4-Actor Codes'!$A$1:$B$622,2,FALSE)</f>
        <v>James McAvoy</v>
      </c>
      <c r="H629" s="8" t="s">
        <v>10</v>
      </c>
      <c r="I629" s="9">
        <v>99967670</v>
      </c>
      <c r="J629" s="10">
        <v>93770307</v>
      </c>
      <c r="L629" s="10">
        <v>36000000</v>
      </c>
      <c r="M629" s="13"/>
      <c r="N629" s="13"/>
      <c r="O629" s="13"/>
      <c r="P629" s="13"/>
    </row>
    <row r="630" spans="1:16" ht="31" x14ac:dyDescent="0.35">
      <c r="A630" s="5">
        <v>629</v>
      </c>
      <c r="B630" s="6" t="s">
        <v>636</v>
      </c>
      <c r="C630" s="7">
        <v>50</v>
      </c>
      <c r="D630" s="7" t="str">
        <f>VLOOKUP(C630,'5-Genre Codes'!$A$1:$B$11,2,FALSE)</f>
        <v>Historical Fiction</v>
      </c>
      <c r="E630" s="8">
        <v>1992</v>
      </c>
      <c r="F630" s="6">
        <v>11605</v>
      </c>
      <c r="G630" s="6" t="str">
        <f>VLOOKUP(F630,'4-Actor Codes'!$A$1:$B$622,2,FALSE)</f>
        <v>Clint Eastwood</v>
      </c>
      <c r="H630" s="8" t="s">
        <v>10</v>
      </c>
      <c r="I630" s="9">
        <v>99162710</v>
      </c>
      <c r="J630" s="10">
        <v>58000000</v>
      </c>
      <c r="K630" s="11" t="s">
        <v>1010</v>
      </c>
      <c r="L630" s="10">
        <v>14400000</v>
      </c>
      <c r="M630" s="13"/>
      <c r="N630" s="13"/>
      <c r="O630" s="13"/>
      <c r="P630" s="13"/>
    </row>
    <row r="631" spans="1:16" ht="31" x14ac:dyDescent="0.35">
      <c r="A631" s="5">
        <v>630</v>
      </c>
      <c r="B631" s="6" t="s">
        <v>637</v>
      </c>
      <c r="C631" s="7">
        <v>90</v>
      </c>
      <c r="D631" s="7" t="str">
        <f>VLOOKUP(C631,'5-Genre Codes'!$A$1:$B$11,2,FALSE)</f>
        <v>Super Hero</v>
      </c>
      <c r="E631" s="8">
        <v>1990</v>
      </c>
      <c r="F631" s="6">
        <v>17290</v>
      </c>
      <c r="G631" s="6" t="str">
        <f>VLOOKUP(F631,'4-Actor Codes'!$A$1:$B$622,2,FALSE)</f>
        <v>Robert Costanzo</v>
      </c>
      <c r="H631" s="8" t="s">
        <v>10</v>
      </c>
      <c r="I631" s="9">
        <v>99098477</v>
      </c>
      <c r="J631" s="10">
        <v>59000000</v>
      </c>
      <c r="L631" s="10">
        <v>47000000</v>
      </c>
      <c r="M631" s="13"/>
      <c r="N631" s="13"/>
      <c r="O631" s="13"/>
      <c r="P631" s="13"/>
    </row>
    <row r="632" spans="1:16" ht="31" x14ac:dyDescent="0.35">
      <c r="A632" s="5">
        <v>631</v>
      </c>
      <c r="B632" s="6" t="s">
        <v>638</v>
      </c>
      <c r="C632" s="7">
        <v>50</v>
      </c>
      <c r="D632" s="7" t="str">
        <f>VLOOKUP(C632,'5-Genre Codes'!$A$1:$B$11,2,FALSE)</f>
        <v>Historical Fiction</v>
      </c>
      <c r="E632" s="8">
        <v>1997</v>
      </c>
      <c r="F632" s="6">
        <v>12055</v>
      </c>
      <c r="G632" s="6" t="str">
        <f>VLOOKUP(F632,'4-Actor Codes'!$A$1:$B$622,2,FALSE)</f>
        <v>Debi Derryberry</v>
      </c>
      <c r="H632" s="8" t="s">
        <v>10</v>
      </c>
      <c r="I632" s="9">
        <v>99046791</v>
      </c>
      <c r="J632" s="10">
        <v>170700000</v>
      </c>
      <c r="L632" s="10">
        <v>100000000</v>
      </c>
      <c r="M632" s="13"/>
      <c r="N632" s="13"/>
      <c r="O632" s="13"/>
      <c r="P632" s="13"/>
    </row>
    <row r="633" spans="1:16" ht="31" x14ac:dyDescent="0.35">
      <c r="A633" s="5">
        <v>632</v>
      </c>
      <c r="B633" s="6" t="s">
        <v>639</v>
      </c>
      <c r="C633" s="7">
        <v>10</v>
      </c>
      <c r="D633" s="7" t="str">
        <f>VLOOKUP(C633,'5-Genre Codes'!$A$1:$B$11,2,FALSE)</f>
        <v>Contemporary Fiction</v>
      </c>
      <c r="E633" s="8">
        <v>1979</v>
      </c>
      <c r="F633" s="6">
        <v>14215</v>
      </c>
      <c r="G633" s="6" t="str">
        <f>VLOOKUP(F633,'4-Actor Codes'!$A$1:$B$622,2,FALSE)</f>
        <v>JoBeth Williams</v>
      </c>
      <c r="H633" s="8" t="s">
        <v>10</v>
      </c>
      <c r="I633" s="9">
        <v>98982763</v>
      </c>
      <c r="J633" s="10">
        <v>106492683</v>
      </c>
      <c r="K633" s="11" t="s">
        <v>1010</v>
      </c>
      <c r="L633" s="10">
        <v>50000000</v>
      </c>
      <c r="M633" s="13"/>
      <c r="N633" s="13"/>
      <c r="O633" s="13"/>
      <c r="P633" s="13"/>
    </row>
    <row r="634" spans="1:16" ht="31" x14ac:dyDescent="0.35">
      <c r="A634" s="5">
        <v>633</v>
      </c>
      <c r="B634" s="6" t="s">
        <v>640</v>
      </c>
      <c r="C634" s="7">
        <v>10</v>
      </c>
      <c r="D634" s="7" t="str">
        <f>VLOOKUP(C634,'5-Genre Codes'!$A$1:$B$11,2,FALSE)</f>
        <v>Contemporary Fiction</v>
      </c>
      <c r="E634" s="8">
        <v>2013</v>
      </c>
      <c r="F634" s="6">
        <v>12985</v>
      </c>
      <c r="G634" s="6" t="str">
        <f>VLOOKUP(F634,'4-Actor Codes'!$A$1:$B$622,2,FALSE)</f>
        <v>Gerard Butler</v>
      </c>
      <c r="H634" s="8" t="s">
        <v>10</v>
      </c>
      <c r="I634" s="9">
        <v>98927592</v>
      </c>
      <c r="J634" s="10">
        <v>51634572</v>
      </c>
      <c r="L634" s="10">
        <v>70000000</v>
      </c>
      <c r="M634" s="13"/>
      <c r="N634" s="13"/>
      <c r="O634" s="13"/>
      <c r="P634" s="13"/>
    </row>
    <row r="635" spans="1:16" x14ac:dyDescent="0.35">
      <c r="A635" s="5">
        <v>634</v>
      </c>
      <c r="B635" s="6" t="s">
        <v>641</v>
      </c>
      <c r="C635" s="7">
        <v>40</v>
      </c>
      <c r="D635" s="7" t="str">
        <f>VLOOKUP(C635,'5-Genre Codes'!$A$1:$B$11,2,FALSE)</f>
        <v>Fantasy</v>
      </c>
      <c r="E635" s="8">
        <v>1978</v>
      </c>
      <c r="F635" s="6">
        <v>11110</v>
      </c>
      <c r="G635" s="6" t="str">
        <f>VLOOKUP(F635,'4-Actor Codes'!$A$1:$B$622,2,FALSE)</f>
        <v>Buck Henry</v>
      </c>
      <c r="H635" s="8" t="s">
        <v>10</v>
      </c>
      <c r="I635" s="9">
        <v>98800000</v>
      </c>
      <c r="J635" s="10">
        <v>120000000</v>
      </c>
      <c r="L635" s="10">
        <v>0</v>
      </c>
      <c r="M635" s="13"/>
      <c r="N635" s="13"/>
      <c r="O635" s="13"/>
      <c r="P635" s="13"/>
    </row>
    <row r="636" spans="1:16" ht="31" x14ac:dyDescent="0.35">
      <c r="A636" s="5">
        <v>635</v>
      </c>
      <c r="B636" s="6" t="s">
        <v>642</v>
      </c>
      <c r="C636" s="7">
        <v>90</v>
      </c>
      <c r="D636" s="7" t="str">
        <f>VLOOKUP(C636,'5-Genre Codes'!$A$1:$B$11,2,FALSE)</f>
        <v>Super Hero</v>
      </c>
      <c r="E636" s="8">
        <v>2010</v>
      </c>
      <c r="F636" s="6">
        <v>18820</v>
      </c>
      <c r="G636" s="6" t="str">
        <f>VLOOKUP(F636,'4-Actor Codes'!$A$1:$B$622,2,FALSE)</f>
        <v>Tom Wilkinson</v>
      </c>
      <c r="H636" s="8" t="s">
        <v>10</v>
      </c>
      <c r="I636" s="9">
        <v>98780042</v>
      </c>
      <c r="J636" s="10">
        <v>130375461</v>
      </c>
      <c r="L636" s="10">
        <v>110000000</v>
      </c>
      <c r="M636" s="13"/>
      <c r="N636" s="13"/>
      <c r="O636" s="13"/>
      <c r="P636" s="13"/>
    </row>
    <row r="637" spans="1:16" ht="31" x14ac:dyDescent="0.35">
      <c r="A637" s="5">
        <v>636</v>
      </c>
      <c r="B637" s="6" t="s">
        <v>643</v>
      </c>
      <c r="C637" s="7">
        <v>10</v>
      </c>
      <c r="D637" s="7" t="str">
        <f>VLOOKUP(C637,'5-Genre Codes'!$A$1:$B$11,2,FALSE)</f>
        <v>Contemporary Fiction</v>
      </c>
      <c r="E637" s="8">
        <v>2010</v>
      </c>
      <c r="F637" s="6">
        <v>15160</v>
      </c>
      <c r="G637" s="6" t="str">
        <f>VLOOKUP(F637,'4-Actor Codes'!$A$1:$B$622,2,FALSE)</f>
        <v>Leighton Meester</v>
      </c>
      <c r="H637" s="8" t="s">
        <v>10</v>
      </c>
      <c r="I637" s="9">
        <v>98711404</v>
      </c>
      <c r="J637" s="10">
        <v>53557629</v>
      </c>
      <c r="L637" s="10">
        <v>55000000</v>
      </c>
      <c r="M637" s="13"/>
      <c r="N637" s="13"/>
      <c r="O637" s="13"/>
      <c r="P637" s="13"/>
    </row>
    <row r="638" spans="1:16" ht="31" x14ac:dyDescent="0.35">
      <c r="A638" s="5">
        <v>637</v>
      </c>
      <c r="B638" s="6" t="s">
        <v>644</v>
      </c>
      <c r="C638" s="7">
        <v>10</v>
      </c>
      <c r="D638" s="7" t="str">
        <f>VLOOKUP(C638,'5-Genre Codes'!$A$1:$B$11,2,FALSE)</f>
        <v>Contemporary Fiction</v>
      </c>
      <c r="E638" s="8">
        <v>1991</v>
      </c>
      <c r="F638" s="6">
        <v>14530</v>
      </c>
      <c r="G638" s="6" t="str">
        <f>VLOOKUP(F638,'4-Actor Codes'!$A$1:$B$622,2,FALSE)</f>
        <v>Julia Roberts</v>
      </c>
      <c r="H638" s="8" t="s">
        <v>10</v>
      </c>
      <c r="I638" s="9">
        <v>98605973</v>
      </c>
      <c r="J638" s="10">
        <v>73369937</v>
      </c>
      <c r="L638" s="10">
        <v>0</v>
      </c>
      <c r="M638" s="13"/>
      <c r="N638" s="13"/>
      <c r="O638" s="13"/>
      <c r="P638" s="13"/>
    </row>
    <row r="639" spans="1:16" ht="31" x14ac:dyDescent="0.35">
      <c r="A639" s="5">
        <v>638</v>
      </c>
      <c r="B639" s="6" t="s">
        <v>645</v>
      </c>
      <c r="C639" s="7">
        <v>10</v>
      </c>
      <c r="D639" s="7" t="str">
        <f>VLOOKUP(C639,'5-Genre Codes'!$A$1:$B$11,2,FALSE)</f>
        <v>Contemporary Fiction</v>
      </c>
      <c r="E639" s="8">
        <v>1971</v>
      </c>
      <c r="F639" s="6">
        <v>18805</v>
      </c>
      <c r="G639" s="6" t="str">
        <f>VLOOKUP(F639,'4-Actor Codes'!$A$1:$B$622,2,FALSE)</f>
        <v>Tom Laughlin</v>
      </c>
      <c r="H639" s="8" t="s">
        <v>10</v>
      </c>
      <c r="I639" s="9">
        <v>98000000</v>
      </c>
      <c r="J639" s="10">
        <v>66881404</v>
      </c>
      <c r="L639" s="10">
        <v>40000000</v>
      </c>
      <c r="M639" s="13"/>
      <c r="N639" s="13"/>
      <c r="O639" s="13"/>
      <c r="P639" s="13"/>
    </row>
    <row r="640" spans="1:16" ht="31" x14ac:dyDescent="0.35">
      <c r="A640" s="5">
        <v>639</v>
      </c>
      <c r="B640" s="6" t="s">
        <v>646</v>
      </c>
      <c r="C640" s="7">
        <v>80</v>
      </c>
      <c r="D640" s="7" t="str">
        <f>VLOOKUP(C640,'5-Genre Codes'!$A$1:$B$11,2,FALSE)</f>
        <v>Science Fiction</v>
      </c>
      <c r="E640" s="8">
        <v>2007</v>
      </c>
      <c r="F640" s="6">
        <v>10315</v>
      </c>
      <c r="G640" s="6" t="str">
        <f>VLOOKUP(F640,'4-Actor Codes'!$A$1:$B$622,2,FALSE)</f>
        <v>Angela Bassett</v>
      </c>
      <c r="H640" s="8" t="s">
        <v>10</v>
      </c>
      <c r="I640" s="9">
        <v>97822171</v>
      </c>
      <c r="J640" s="10">
        <v>72730548</v>
      </c>
      <c r="L640" s="10">
        <v>0</v>
      </c>
      <c r="M640" s="13"/>
      <c r="N640" s="13"/>
      <c r="O640" s="13"/>
      <c r="P640" s="13"/>
    </row>
    <row r="641" spans="1:16" ht="31" x14ac:dyDescent="0.35">
      <c r="A641" s="5">
        <v>640</v>
      </c>
      <c r="B641" s="6" t="s">
        <v>647</v>
      </c>
      <c r="C641" s="7">
        <v>10</v>
      </c>
      <c r="D641" s="7" t="str">
        <f>VLOOKUP(C641,'5-Genre Codes'!$A$1:$B$11,2,FALSE)</f>
        <v>Contemporary Fiction</v>
      </c>
      <c r="E641" s="8">
        <v>2008</v>
      </c>
      <c r="F641" s="6">
        <v>14155</v>
      </c>
      <c r="G641" s="6" t="str">
        <f>VLOOKUP(F641,'4-Actor Codes'!$A$1:$B$622,2,FALSE)</f>
        <v>Jim Carrey</v>
      </c>
      <c r="H641" s="8" t="s">
        <v>10</v>
      </c>
      <c r="I641" s="9">
        <v>97690976</v>
      </c>
      <c r="J641" s="10">
        <v>128300000</v>
      </c>
      <c r="L641" s="10">
        <v>50000000</v>
      </c>
      <c r="M641" s="13"/>
      <c r="N641" s="13"/>
      <c r="O641" s="13"/>
      <c r="P641" s="13"/>
    </row>
    <row r="642" spans="1:16" ht="31" x14ac:dyDescent="0.35">
      <c r="A642" s="5">
        <v>641</v>
      </c>
      <c r="B642" s="6" t="s">
        <v>648</v>
      </c>
      <c r="C642" s="7">
        <v>60</v>
      </c>
      <c r="D642" s="7" t="str">
        <f>VLOOKUP(C642,'5-Genre Codes'!$A$1:$B$11,2,FALSE)</f>
        <v>Kids Fiction</v>
      </c>
      <c r="E642" s="8">
        <v>1999</v>
      </c>
      <c r="F642" s="6">
        <v>15745</v>
      </c>
      <c r="G642" s="6" t="str">
        <f>VLOOKUP(F642,'4-Actor Codes'!$A$1:$B$622,2,FALSE)</f>
        <v>Matthew Broderick</v>
      </c>
      <c r="H642" s="8" t="s">
        <v>10</v>
      </c>
      <c r="I642" s="9">
        <v>97360069</v>
      </c>
      <c r="J642" s="10">
        <v>78335068</v>
      </c>
      <c r="L642" s="10">
        <v>5000000</v>
      </c>
      <c r="M642" s="13"/>
      <c r="N642" s="13"/>
      <c r="O642" s="13"/>
      <c r="P642" s="13"/>
    </row>
    <row r="643" spans="1:16" ht="31" x14ac:dyDescent="0.35">
      <c r="A643" s="5">
        <v>642</v>
      </c>
      <c r="B643" s="6" t="s">
        <v>649</v>
      </c>
      <c r="C643" s="7">
        <v>20</v>
      </c>
      <c r="D643" s="7" t="str">
        <f>VLOOKUP(C643,'5-Genre Codes'!$A$1:$B$11,2,FALSE)</f>
        <v>Dramatization</v>
      </c>
      <c r="E643" s="8">
        <v>2009</v>
      </c>
      <c r="F643" s="6">
        <v>14350</v>
      </c>
      <c r="G643" s="6" t="str">
        <f>VLOOKUP(F643,'4-Actor Codes'!$A$1:$B$622,2,FALSE)</f>
        <v>Johnny Depp</v>
      </c>
      <c r="H643" s="8" t="s">
        <v>10</v>
      </c>
      <c r="I643" s="9">
        <v>97104620</v>
      </c>
      <c r="J643" s="10">
        <v>115178089</v>
      </c>
      <c r="L643" s="10">
        <v>102500000</v>
      </c>
      <c r="M643" s="13"/>
      <c r="N643" s="13"/>
      <c r="O643" s="13"/>
      <c r="P643" s="13"/>
    </row>
    <row r="644" spans="1:16" ht="31" x14ac:dyDescent="0.35">
      <c r="A644" s="5">
        <v>643</v>
      </c>
      <c r="B644" s="6" t="s">
        <v>650</v>
      </c>
      <c r="C644" s="7">
        <v>20</v>
      </c>
      <c r="D644" s="7" t="str">
        <f>VLOOKUP(C644,'5-Genre Codes'!$A$1:$B$11,2,FALSE)</f>
        <v>Dramatization</v>
      </c>
      <c r="E644" s="8">
        <v>2010</v>
      </c>
      <c r="F644" s="6">
        <v>10255</v>
      </c>
      <c r="G644" s="6" t="str">
        <f>VLOOKUP(F644,'4-Actor Codes'!$A$1:$B$622,2,FALSE)</f>
        <v>Andrew Garfield</v>
      </c>
      <c r="H644" s="8" t="s">
        <v>10</v>
      </c>
      <c r="I644" s="9">
        <v>96962694</v>
      </c>
      <c r="J644" s="10">
        <v>127959441</v>
      </c>
      <c r="L644" s="10">
        <v>40000000</v>
      </c>
      <c r="M644" s="13"/>
      <c r="N644" s="13"/>
      <c r="O644" s="13"/>
      <c r="P644" s="13"/>
    </row>
    <row r="645" spans="1:16" ht="31" x14ac:dyDescent="0.35">
      <c r="A645" s="5">
        <v>644</v>
      </c>
      <c r="B645" s="6" t="s">
        <v>651</v>
      </c>
      <c r="C645" s="7">
        <v>50</v>
      </c>
      <c r="D645" s="7" t="str">
        <f>VLOOKUP(C645,'5-Genre Codes'!$A$1:$B$11,2,FALSE)</f>
        <v>Historical Fiction</v>
      </c>
      <c r="E645" s="8">
        <v>2001</v>
      </c>
      <c r="F645" s="6">
        <v>16495</v>
      </c>
      <c r="G645" s="6" t="str">
        <f>VLOOKUP(F645,'4-Actor Codes'!$A$1:$B$622,2,FALSE)</f>
        <v>Nicole Kidman</v>
      </c>
      <c r="H645" s="8" t="s">
        <v>10</v>
      </c>
      <c r="I645" s="9">
        <v>96522687</v>
      </c>
      <c r="J645" s="10">
        <v>111242369</v>
      </c>
      <c r="L645" s="10">
        <v>17000000</v>
      </c>
      <c r="M645" s="13"/>
      <c r="N645" s="13"/>
      <c r="O645" s="13"/>
      <c r="P645" s="13"/>
    </row>
    <row r="646" spans="1:16" ht="46.5" x14ac:dyDescent="0.35">
      <c r="A646" s="5">
        <v>645</v>
      </c>
      <c r="B646" s="6" t="s">
        <v>652</v>
      </c>
      <c r="C646" s="7">
        <v>10</v>
      </c>
      <c r="D646" s="7" t="str">
        <f>VLOOKUP(C646,'5-Genre Codes'!$A$1:$B$11,2,FALSE)</f>
        <v>Contemporary Fiction</v>
      </c>
      <c r="E646" s="8">
        <v>2001</v>
      </c>
      <c r="F646" s="6">
        <v>17110</v>
      </c>
      <c r="G646" s="6" t="str">
        <f>VLOOKUP(F646,'4-Actor Codes'!$A$1:$B$622,2,FALSE)</f>
        <v>Reese Witherspoon</v>
      </c>
      <c r="H646" s="8" t="s">
        <v>10</v>
      </c>
      <c r="I646" s="9">
        <v>96493426</v>
      </c>
      <c r="J646" s="10">
        <v>45315809</v>
      </c>
      <c r="L646" s="10">
        <v>18000000</v>
      </c>
      <c r="M646" s="13"/>
      <c r="N646" s="13"/>
      <c r="O646" s="13"/>
      <c r="P646" s="13"/>
    </row>
    <row r="647" spans="1:16" ht="31" x14ac:dyDescent="0.35">
      <c r="A647" s="5">
        <v>646</v>
      </c>
      <c r="B647" s="6" t="s">
        <v>653</v>
      </c>
      <c r="C647" s="7">
        <v>20</v>
      </c>
      <c r="D647" s="7" t="str">
        <f>VLOOKUP(C647,'5-Genre Codes'!$A$1:$B$11,2,FALSE)</f>
        <v>Dramatization</v>
      </c>
      <c r="E647" s="8">
        <v>2012</v>
      </c>
      <c r="F647" s="6">
        <v>14125</v>
      </c>
      <c r="G647" s="6" t="str">
        <f>VLOOKUP(F647,'4-Actor Codes'!$A$1:$B$622,2,FALSE)</f>
        <v>Jessica Chastain</v>
      </c>
      <c r="H647" s="8" t="s">
        <v>10</v>
      </c>
      <c r="I647" s="9">
        <v>95720716</v>
      </c>
      <c r="J647" s="10">
        <v>38891719</v>
      </c>
      <c r="L647" s="10">
        <v>52500000</v>
      </c>
      <c r="M647" s="13"/>
      <c r="N647" s="13"/>
      <c r="O647" s="13"/>
      <c r="P647" s="13"/>
    </row>
    <row r="648" spans="1:16" ht="31" x14ac:dyDescent="0.35">
      <c r="A648" s="5">
        <v>647</v>
      </c>
      <c r="B648" s="6" t="s">
        <v>654</v>
      </c>
      <c r="C648" s="7">
        <v>50</v>
      </c>
      <c r="D648" s="7" t="str">
        <f>VLOOKUP(C648,'5-Genre Codes'!$A$1:$B$11,2,FALSE)</f>
        <v>Historical Fiction</v>
      </c>
      <c r="E648" s="8">
        <v>2003</v>
      </c>
      <c r="F648" s="6">
        <v>17410</v>
      </c>
      <c r="G648" s="6" t="str">
        <f>VLOOKUP(F648,'4-Actor Codes'!$A$1:$B$622,2,FALSE)</f>
        <v>Robin Mullins</v>
      </c>
      <c r="H648" s="8" t="s">
        <v>10</v>
      </c>
      <c r="I648" s="9">
        <v>95632614</v>
      </c>
      <c r="J648" s="10">
        <v>69541295</v>
      </c>
      <c r="L648" s="10">
        <v>80000000</v>
      </c>
      <c r="M648" s="13"/>
      <c r="N648" s="13"/>
      <c r="O648" s="13"/>
      <c r="P648" s="13"/>
    </row>
    <row r="649" spans="1:16" ht="31" x14ac:dyDescent="0.35">
      <c r="A649" s="5">
        <v>648</v>
      </c>
      <c r="B649" s="6" t="s">
        <v>655</v>
      </c>
      <c r="C649" s="7">
        <v>20</v>
      </c>
      <c r="D649" s="7" t="str">
        <f>VLOOKUP(C649,'5-Genre Codes'!$A$1:$B$11,2,FALSE)</f>
        <v>Dramatization</v>
      </c>
      <c r="E649" s="8">
        <v>1993</v>
      </c>
      <c r="F649" s="6">
        <v>17035</v>
      </c>
      <c r="G649" s="6" t="str">
        <f>VLOOKUP(F649,'4-Actor Codes'!$A$1:$B$622,2,FALSE)</f>
        <v>Ralph Fiennes</v>
      </c>
      <c r="H649" s="8" t="s">
        <v>10</v>
      </c>
      <c r="I649" s="9">
        <v>95494598</v>
      </c>
      <c r="J649" s="10">
        <v>225298388</v>
      </c>
      <c r="K649" s="11" t="s">
        <v>1010</v>
      </c>
      <c r="L649" s="10">
        <v>25000000</v>
      </c>
      <c r="M649" s="13"/>
      <c r="N649" s="13"/>
      <c r="O649" s="13"/>
      <c r="P649" s="13"/>
    </row>
    <row r="650" spans="1:16" ht="31" x14ac:dyDescent="0.35">
      <c r="A650" s="5">
        <v>649</v>
      </c>
      <c r="B650" s="6" t="s">
        <v>656</v>
      </c>
      <c r="C650" s="7">
        <v>10</v>
      </c>
      <c r="D650" s="7" t="str">
        <f>VLOOKUP(C650,'5-Genre Codes'!$A$1:$B$11,2,FALSE)</f>
        <v>Contemporary Fiction</v>
      </c>
      <c r="E650" s="8">
        <v>1989</v>
      </c>
      <c r="F650" s="6">
        <v>14755</v>
      </c>
      <c r="G650" s="6" t="str">
        <f>VLOOKUP(F650,'4-Actor Codes'!$A$1:$B$622,2,FALSE)</f>
        <v>Keanu Reeves</v>
      </c>
      <c r="H650" s="8" t="s">
        <v>10</v>
      </c>
      <c r="I650" s="9">
        <v>95369673</v>
      </c>
      <c r="J650" s="10">
        <v>86196168</v>
      </c>
      <c r="L650" s="10">
        <v>5000000</v>
      </c>
      <c r="M650" s="13"/>
      <c r="N650" s="13"/>
      <c r="O650" s="13"/>
      <c r="P650" s="13"/>
    </row>
    <row r="651" spans="1:16" ht="31" x14ac:dyDescent="0.35">
      <c r="A651" s="5">
        <v>650</v>
      </c>
      <c r="B651" s="6" t="s">
        <v>657</v>
      </c>
      <c r="C651" s="7">
        <v>10</v>
      </c>
      <c r="D651" s="7" t="str">
        <f>VLOOKUP(C651,'5-Genre Codes'!$A$1:$B$11,2,FALSE)</f>
        <v>Contemporary Fiction</v>
      </c>
      <c r="E651" s="8">
        <v>2007</v>
      </c>
      <c r="F651" s="6">
        <v>12400</v>
      </c>
      <c r="G651" s="6" t="str">
        <f>VLOOKUP(F651,'4-Actor Codes'!$A$1:$B$622,2,FALSE)</f>
        <v>Eddie Murphy</v>
      </c>
      <c r="H651" s="8" t="s">
        <v>10</v>
      </c>
      <c r="I651" s="9">
        <v>95360247</v>
      </c>
      <c r="J651" s="10">
        <v>63300000</v>
      </c>
      <c r="L651" s="10">
        <v>0</v>
      </c>
      <c r="M651" s="13"/>
      <c r="N651" s="13"/>
      <c r="O651" s="13"/>
      <c r="P651" s="13"/>
    </row>
    <row r="652" spans="1:16" ht="46.5" x14ac:dyDescent="0.35">
      <c r="A652" s="5">
        <v>651</v>
      </c>
      <c r="B652" s="6" t="s">
        <v>658</v>
      </c>
      <c r="C652" s="7">
        <v>10</v>
      </c>
      <c r="D652" s="7" t="str">
        <f>VLOOKUP(C652,'5-Genre Codes'!$A$1:$B$11,2,FALSE)</f>
        <v>Contemporary Fiction</v>
      </c>
      <c r="E652" s="8">
        <v>2010</v>
      </c>
      <c r="F652" s="6">
        <v>17800</v>
      </c>
      <c r="G652" s="6" t="str">
        <f>VLOOKUP(F652,'4-Actor Codes'!$A$1:$B$622,2,FALSE)</f>
        <v>Sarah Jessica Parker</v>
      </c>
      <c r="H652" s="8" t="s">
        <v>13</v>
      </c>
      <c r="I652" s="9">
        <v>95347692</v>
      </c>
      <c r="J652" s="10">
        <v>199333086</v>
      </c>
      <c r="L652" s="10">
        <v>95000000</v>
      </c>
      <c r="M652" s="13"/>
      <c r="N652" s="13"/>
      <c r="O652" s="13"/>
      <c r="P652" s="13"/>
    </row>
    <row r="653" spans="1:16" ht="31" x14ac:dyDescent="0.35">
      <c r="A653" s="5">
        <v>652</v>
      </c>
      <c r="B653" s="6" t="s">
        <v>659</v>
      </c>
      <c r="C653" s="7">
        <v>10</v>
      </c>
      <c r="D653" s="7" t="str">
        <f>VLOOKUP(C653,'5-Genre Codes'!$A$1:$B$11,2,FALSE)</f>
        <v>Contemporary Fiction</v>
      </c>
      <c r="E653" s="8">
        <v>1996</v>
      </c>
      <c r="F653" s="6">
        <v>14320</v>
      </c>
      <c r="G653" s="6" t="str">
        <f>VLOOKUP(F653,'4-Actor Codes'!$A$1:$B$622,2,FALSE)</f>
        <v>John Travolta</v>
      </c>
      <c r="H653" s="8" t="s">
        <v>10</v>
      </c>
      <c r="I653" s="9">
        <v>95345070</v>
      </c>
      <c r="J653" s="10">
        <v>100339718</v>
      </c>
      <c r="L653" s="10">
        <v>135000000</v>
      </c>
      <c r="M653" s="13"/>
      <c r="N653" s="13"/>
      <c r="O653" s="13"/>
      <c r="P653" s="13"/>
    </row>
    <row r="654" spans="1:16" ht="31" x14ac:dyDescent="0.35">
      <c r="A654" s="5">
        <v>653</v>
      </c>
      <c r="B654" s="6" t="s">
        <v>660</v>
      </c>
      <c r="C654" s="7">
        <v>10</v>
      </c>
      <c r="D654" s="7" t="str">
        <f>VLOOKUP(C654,'5-Genre Codes'!$A$1:$B$11,2,FALSE)</f>
        <v>Contemporary Fiction</v>
      </c>
      <c r="E654" s="8">
        <v>2002</v>
      </c>
      <c r="F654" s="6">
        <v>14230</v>
      </c>
      <c r="G654" s="6" t="str">
        <f>VLOOKUP(F654,'4-Actor Codes'!$A$1:$B$622,2,FALSE)</f>
        <v>Jodie Foster</v>
      </c>
      <c r="H654" s="8" t="s">
        <v>10</v>
      </c>
      <c r="I654" s="9">
        <v>95308367</v>
      </c>
      <c r="J654" s="10">
        <v>101000000</v>
      </c>
      <c r="L654" s="10">
        <v>48000000</v>
      </c>
      <c r="M654" s="13"/>
      <c r="N654" s="13"/>
      <c r="O654" s="13"/>
      <c r="P654" s="13"/>
    </row>
    <row r="655" spans="1:16" ht="31" x14ac:dyDescent="0.35">
      <c r="A655" s="5">
        <v>654</v>
      </c>
      <c r="B655" s="6" t="s">
        <v>661</v>
      </c>
      <c r="C655" s="7">
        <v>10</v>
      </c>
      <c r="D655" s="7" t="str">
        <f>VLOOKUP(C655,'5-Genre Codes'!$A$1:$B$11,2,FALSE)</f>
        <v>Contemporary Fiction</v>
      </c>
      <c r="E655" s="8">
        <v>2004</v>
      </c>
      <c r="F655" s="6">
        <v>14560</v>
      </c>
      <c r="G655" s="6" t="str">
        <f>VLOOKUP(F655,'4-Actor Codes'!$A$1:$B$622,2,FALSE)</f>
        <v>Julie Andrews</v>
      </c>
      <c r="H655" s="8" t="s">
        <v>13</v>
      </c>
      <c r="I655" s="9">
        <v>95149435</v>
      </c>
      <c r="J655" s="10">
        <v>57090000</v>
      </c>
      <c r="L655" s="10">
        <v>30000000</v>
      </c>
      <c r="M655" s="13"/>
      <c r="N655" s="13"/>
      <c r="O655" s="13"/>
      <c r="P655" s="13"/>
    </row>
    <row r="656" spans="1:16" ht="31" x14ac:dyDescent="0.35">
      <c r="A656" s="5">
        <v>655</v>
      </c>
      <c r="B656" s="6" t="s">
        <v>662</v>
      </c>
      <c r="C656" s="7">
        <v>20</v>
      </c>
      <c r="D656" s="7" t="str">
        <f>VLOOKUP(C656,'5-Genre Codes'!$A$1:$B$11,2,FALSE)</f>
        <v>Dramatization</v>
      </c>
      <c r="E656" s="8">
        <v>2012</v>
      </c>
      <c r="F656" s="6">
        <v>16480</v>
      </c>
      <c r="G656" s="6" t="str">
        <f>VLOOKUP(F656,'4-Actor Codes'!$A$1:$B$622,2,FALSE)</f>
        <v>Nicole Beharie</v>
      </c>
      <c r="H656" s="8" t="s">
        <v>10</v>
      </c>
      <c r="I656" s="9">
        <v>95020213</v>
      </c>
      <c r="J656" s="10">
        <v>224200000</v>
      </c>
      <c r="L656" s="10">
        <v>110000000</v>
      </c>
      <c r="M656" s="13"/>
      <c r="N656" s="13"/>
      <c r="O656" s="13"/>
      <c r="P656" s="13"/>
    </row>
    <row r="657" spans="1:16" x14ac:dyDescent="0.35">
      <c r="A657" s="5">
        <v>656</v>
      </c>
      <c r="B657" s="6" t="s">
        <v>663</v>
      </c>
      <c r="C657" s="7">
        <v>90</v>
      </c>
      <c r="D657" s="7" t="str">
        <f>VLOOKUP(C657,'5-Genre Codes'!$A$1:$B$11,2,FALSE)</f>
        <v>Super Hero</v>
      </c>
      <c r="E657" s="8">
        <v>2000</v>
      </c>
      <c r="F657" s="6">
        <v>11095</v>
      </c>
      <c r="G657" s="6" t="str">
        <f>VLOOKUP(F657,'4-Actor Codes'!$A$1:$B$622,2,FALSE)</f>
        <v>Bruce Willis</v>
      </c>
      <c r="H657" s="8" t="s">
        <v>10</v>
      </c>
      <c r="I657" s="9">
        <v>94999143</v>
      </c>
      <c r="J657" s="10">
        <v>153100000</v>
      </c>
      <c r="L657" s="10">
        <v>73243106</v>
      </c>
      <c r="M657" s="13"/>
      <c r="N657" s="13"/>
      <c r="O657" s="13"/>
      <c r="P657" s="13"/>
    </row>
    <row r="658" spans="1:16" ht="31" x14ac:dyDescent="0.35">
      <c r="A658" s="5">
        <v>657</v>
      </c>
      <c r="B658" s="6" t="s">
        <v>664</v>
      </c>
      <c r="C658" s="7">
        <v>80</v>
      </c>
      <c r="D658" s="7" t="str">
        <f>VLOOKUP(C658,'5-Genre Codes'!$A$1:$B$11,2,FALSE)</f>
        <v>Science Fiction</v>
      </c>
      <c r="E658" s="8">
        <v>2010</v>
      </c>
      <c r="F658" s="6">
        <v>16030</v>
      </c>
      <c r="G658" s="6" t="str">
        <f>VLOOKUP(F658,'4-Actor Codes'!$A$1:$B$622,2,FALSE)</f>
        <v>Michael Gambon</v>
      </c>
      <c r="H658" s="8" t="s">
        <v>10</v>
      </c>
      <c r="I658" s="9">
        <v>94835059</v>
      </c>
      <c r="J658" s="10">
        <v>63915758</v>
      </c>
      <c r="L658" s="10">
        <v>80000000</v>
      </c>
      <c r="M658" s="13"/>
      <c r="N658" s="13"/>
      <c r="O658" s="13"/>
      <c r="P658" s="13"/>
    </row>
    <row r="659" spans="1:16" x14ac:dyDescent="0.35">
      <c r="A659" s="5">
        <v>658</v>
      </c>
      <c r="B659" s="6" t="s">
        <v>665</v>
      </c>
      <c r="C659" s="7">
        <v>50</v>
      </c>
      <c r="D659" s="7" t="str">
        <f>VLOOKUP(C659,'5-Genre Codes'!$A$1:$B$11,2,FALSE)</f>
        <v>Historical Fiction</v>
      </c>
      <c r="E659" s="8">
        <v>2008</v>
      </c>
      <c r="F659" s="6">
        <v>11590</v>
      </c>
      <c r="G659" s="6" t="str">
        <f>VLOOKUP(F659,'4-Actor Codes'!$A$1:$B$622,2,FALSE)</f>
        <v>Cliff Curtis</v>
      </c>
      <c r="H659" s="8" t="s">
        <v>10</v>
      </c>
      <c r="I659" s="9">
        <v>94784201</v>
      </c>
      <c r="J659" s="10">
        <v>174281477</v>
      </c>
      <c r="L659" s="10">
        <v>105000000</v>
      </c>
      <c r="M659" s="13"/>
      <c r="N659" s="13"/>
      <c r="O659" s="13"/>
      <c r="P659" s="13"/>
    </row>
    <row r="660" spans="1:16" ht="31" x14ac:dyDescent="0.35">
      <c r="A660" s="5">
        <v>659</v>
      </c>
      <c r="B660" s="6" t="s">
        <v>666</v>
      </c>
      <c r="C660" s="7">
        <v>40</v>
      </c>
      <c r="D660" s="7" t="str">
        <f>VLOOKUP(C660,'5-Genre Codes'!$A$1:$B$11,2,FALSE)</f>
        <v>Fantasy</v>
      </c>
      <c r="E660" s="8">
        <v>2008</v>
      </c>
      <c r="F660" s="6">
        <v>14440</v>
      </c>
      <c r="G660" s="6" t="str">
        <f>VLOOKUP(F660,'4-Actor Codes'!$A$1:$B$622,2,FALSE)</f>
        <v>Jose Maria Yazpik</v>
      </c>
      <c r="H660" s="8" t="s">
        <v>10</v>
      </c>
      <c r="I660" s="9">
        <v>94514402</v>
      </c>
      <c r="J660" s="10">
        <v>59703766</v>
      </c>
      <c r="L660" s="10">
        <v>20000000</v>
      </c>
      <c r="M660" s="13"/>
      <c r="N660" s="13"/>
      <c r="O660" s="13"/>
      <c r="P660" s="13"/>
    </row>
    <row r="661" spans="1:16" ht="31" x14ac:dyDescent="0.35">
      <c r="A661" s="5">
        <v>660</v>
      </c>
      <c r="B661" s="6" t="s">
        <v>667</v>
      </c>
      <c r="C661" s="7">
        <v>10</v>
      </c>
      <c r="D661" s="7" t="str">
        <f>VLOOKUP(C661,'5-Genre Codes'!$A$1:$B$11,2,FALSE)</f>
        <v>Contemporary Fiction</v>
      </c>
      <c r="E661" s="8">
        <v>1989</v>
      </c>
      <c r="F661" s="6">
        <v>17365</v>
      </c>
      <c r="G661" s="6" t="str">
        <f>VLOOKUP(F661,'4-Actor Codes'!$A$1:$B$622,2,FALSE)</f>
        <v>Robert Sean Leonard</v>
      </c>
      <c r="H661" s="8" t="s">
        <v>10</v>
      </c>
      <c r="I661" s="9">
        <v>94326915</v>
      </c>
      <c r="J661" s="10">
        <v>143639884</v>
      </c>
      <c r="L661" s="10">
        <v>16400000</v>
      </c>
      <c r="M661" s="13"/>
      <c r="N661" s="13"/>
      <c r="O661" s="13"/>
      <c r="P661" s="13"/>
    </row>
    <row r="662" spans="1:16" ht="31" x14ac:dyDescent="0.35">
      <c r="A662" s="5">
        <v>661</v>
      </c>
      <c r="B662" s="6" t="s">
        <v>668</v>
      </c>
      <c r="C662" s="7">
        <v>10</v>
      </c>
      <c r="D662" s="7" t="str">
        <f>VLOOKUP(C662,'5-Genre Codes'!$A$1:$B$11,2,FALSE)</f>
        <v>Contemporary Fiction</v>
      </c>
      <c r="E662" s="8">
        <v>2009</v>
      </c>
      <c r="F662" s="6">
        <v>19015</v>
      </c>
      <c r="G662" s="6" t="str">
        <f>VLOOKUP(F662,'4-Actor Codes'!$A$1:$B$622,2,FALSE)</f>
        <v>Vanessa Ferlito</v>
      </c>
      <c r="H662" s="8" t="s">
        <v>10</v>
      </c>
      <c r="I662" s="9">
        <v>94125426</v>
      </c>
      <c r="J662" s="10">
        <v>141476567</v>
      </c>
      <c r="L662" s="10">
        <v>45000000</v>
      </c>
      <c r="M662" s="13"/>
      <c r="N662" s="13"/>
      <c r="O662" s="13"/>
      <c r="P662" s="13"/>
    </row>
    <row r="663" spans="1:16" ht="31" x14ac:dyDescent="0.35">
      <c r="A663" s="5">
        <v>662</v>
      </c>
      <c r="B663" s="6" t="s">
        <v>669</v>
      </c>
      <c r="C663" s="7">
        <v>10</v>
      </c>
      <c r="D663" s="7" t="str">
        <f>VLOOKUP(C663,'5-Genre Codes'!$A$1:$B$11,2,FALSE)</f>
        <v>Contemporary Fiction</v>
      </c>
      <c r="E663" s="8">
        <v>2009</v>
      </c>
      <c r="F663" s="6">
        <v>14980</v>
      </c>
      <c r="G663" s="6" t="str">
        <f>VLOOKUP(F663,'4-Actor Codes'!$A$1:$B$622,2,FALSE)</f>
        <v>Kris Kristofferson</v>
      </c>
      <c r="H663" s="8" t="s">
        <v>10</v>
      </c>
      <c r="I663" s="9">
        <v>93953653</v>
      </c>
      <c r="J663" s="10">
        <v>233103872</v>
      </c>
      <c r="L663" s="10">
        <v>24000000</v>
      </c>
      <c r="M663" s="13"/>
      <c r="N663" s="13"/>
      <c r="O663" s="13"/>
      <c r="P663" s="13"/>
    </row>
    <row r="664" spans="1:16" ht="31" x14ac:dyDescent="0.35">
      <c r="A664" s="5">
        <v>663</v>
      </c>
      <c r="B664" s="6" t="s">
        <v>670</v>
      </c>
      <c r="C664" s="7">
        <v>10</v>
      </c>
      <c r="D664" s="7" t="str">
        <f>VLOOKUP(C664,'5-Genre Codes'!$A$1:$B$11,2,FALSE)</f>
        <v>Contemporary Fiction</v>
      </c>
      <c r="E664" s="8">
        <v>2002</v>
      </c>
      <c r="F664" s="6">
        <v>14005</v>
      </c>
      <c r="G664" s="6" t="str">
        <f>VLOOKUP(F664,'4-Actor Codes'!$A$1:$B$622,2,FALSE)</f>
        <v>Jennifer Lopez</v>
      </c>
      <c r="H664" s="8" t="s">
        <v>10</v>
      </c>
      <c r="I664" s="9">
        <v>93932896</v>
      </c>
      <c r="J664" s="10">
        <v>69905321</v>
      </c>
      <c r="L664" s="10">
        <v>55000000</v>
      </c>
      <c r="M664" s="13"/>
      <c r="N664" s="13"/>
      <c r="O664" s="13"/>
      <c r="P664" s="13"/>
    </row>
    <row r="665" spans="1:16" ht="31" x14ac:dyDescent="0.35">
      <c r="A665" s="5">
        <v>664</v>
      </c>
      <c r="B665" s="6" t="s">
        <v>671</v>
      </c>
      <c r="C665" s="7">
        <v>50</v>
      </c>
      <c r="D665" s="7" t="str">
        <f>VLOOKUP(C665,'5-Genre Codes'!$A$1:$B$11,2,FALSE)</f>
        <v>Historical Fiction</v>
      </c>
      <c r="E665" s="8">
        <v>2003</v>
      </c>
      <c r="F665" s="6">
        <v>17605</v>
      </c>
      <c r="G665" s="6" t="str">
        <f>VLOOKUP(F665,'4-Actor Codes'!$A$1:$B$622,2,FALSE)</f>
        <v>Russell Crowe</v>
      </c>
      <c r="H665" s="8" t="s">
        <v>10</v>
      </c>
      <c r="I665" s="9">
        <v>93926386</v>
      </c>
      <c r="J665" s="10">
        <v>118985751</v>
      </c>
      <c r="L665" s="10">
        <v>135000000</v>
      </c>
      <c r="M665" s="13"/>
      <c r="N665" s="13"/>
      <c r="O665" s="13"/>
      <c r="P665" s="13"/>
    </row>
    <row r="666" spans="1:16" ht="31" x14ac:dyDescent="0.35">
      <c r="A666" s="5">
        <v>665</v>
      </c>
      <c r="B666" s="6" t="s">
        <v>672</v>
      </c>
      <c r="C666" s="7">
        <v>10</v>
      </c>
      <c r="D666" s="7" t="str">
        <f>VLOOKUP(C666,'5-Genre Codes'!$A$1:$B$11,2,FALSE)</f>
        <v>Contemporary Fiction</v>
      </c>
      <c r="E666" s="8">
        <v>2012</v>
      </c>
      <c r="F666" s="6">
        <v>12115</v>
      </c>
      <c r="G666" s="6" t="str">
        <f>VLOOKUP(F666,'4-Actor Codes'!$A$1:$B$622,2,FALSE)</f>
        <v>Denzel Washington</v>
      </c>
      <c r="H666" s="8" t="s">
        <v>10</v>
      </c>
      <c r="I666" s="9">
        <v>93772375</v>
      </c>
      <c r="J666" s="10">
        <v>65811783</v>
      </c>
      <c r="L666" s="10">
        <v>31000000</v>
      </c>
      <c r="M666" s="13"/>
      <c r="N666" s="13"/>
      <c r="O666" s="13"/>
      <c r="P666" s="13"/>
    </row>
    <row r="667" spans="1:16" ht="31" x14ac:dyDescent="0.35">
      <c r="A667" s="5">
        <v>666</v>
      </c>
      <c r="B667" s="6" t="s">
        <v>673</v>
      </c>
      <c r="C667" s="7">
        <v>50</v>
      </c>
      <c r="D667" s="7" t="str">
        <f>VLOOKUP(C667,'5-Genre Codes'!$A$1:$B$11,2,FALSE)</f>
        <v>Historical Fiction</v>
      </c>
      <c r="E667" s="8">
        <v>1998</v>
      </c>
      <c r="F667" s="6">
        <v>10495</v>
      </c>
      <c r="G667" s="6" t="str">
        <f>VLOOKUP(F667,'4-Actor Codes'!$A$1:$B$622,2,FALSE)</f>
        <v>Antonio Banderas</v>
      </c>
      <c r="H667" s="8" t="s">
        <v>10</v>
      </c>
      <c r="I667" s="9">
        <v>93771072</v>
      </c>
      <c r="J667" s="10">
        <v>139871255</v>
      </c>
      <c r="L667" s="10">
        <v>65000000</v>
      </c>
      <c r="M667" s="13"/>
      <c r="N667" s="13"/>
      <c r="O667" s="13"/>
      <c r="P667" s="13"/>
    </row>
    <row r="668" spans="1:16" x14ac:dyDescent="0.35">
      <c r="A668" s="5">
        <v>667</v>
      </c>
      <c r="B668" s="6" t="s">
        <v>674</v>
      </c>
      <c r="C668" s="7">
        <v>20</v>
      </c>
      <c r="D668" s="7" t="str">
        <f>VLOOKUP(C668,'5-Genre Codes'!$A$1:$B$11,2,FALSE)</f>
        <v>Dramatization</v>
      </c>
      <c r="E668" s="8">
        <v>2010</v>
      </c>
      <c r="F668" s="6">
        <v>10210</v>
      </c>
      <c r="G668" s="6" t="str">
        <f>VLOOKUP(F668,'4-Actor Codes'!$A$1:$B$622,2,FALSE)</f>
        <v>Amy Adams</v>
      </c>
      <c r="H668" s="8" t="s">
        <v>10</v>
      </c>
      <c r="I668" s="9">
        <v>93617009</v>
      </c>
      <c r="J668" s="10">
        <v>200329138</v>
      </c>
      <c r="L668" s="10">
        <v>95000000</v>
      </c>
      <c r="M668" s="13"/>
      <c r="N668" s="13"/>
      <c r="O668" s="13"/>
      <c r="P668" s="13"/>
    </row>
    <row r="669" spans="1:16" ht="31" x14ac:dyDescent="0.35">
      <c r="A669" s="5">
        <v>668</v>
      </c>
      <c r="B669" s="6" t="s">
        <v>675</v>
      </c>
      <c r="C669" s="7">
        <v>10</v>
      </c>
      <c r="D669" s="7" t="str">
        <f>VLOOKUP(C669,'5-Genre Codes'!$A$1:$B$11,2,FALSE)</f>
        <v>Contemporary Fiction</v>
      </c>
      <c r="E669" s="8">
        <v>2001</v>
      </c>
      <c r="F669" s="6">
        <v>15085</v>
      </c>
      <c r="G669" s="6" t="str">
        <f>VLOOKUP(F669,'4-Actor Codes'!$A$1:$B$622,2,FALSE)</f>
        <v>Larry King</v>
      </c>
      <c r="H669" s="8" t="s">
        <v>10</v>
      </c>
      <c r="I669" s="9">
        <v>93607673</v>
      </c>
      <c r="J669" s="10">
        <v>223868601</v>
      </c>
      <c r="L669" s="10">
        <v>70000000</v>
      </c>
      <c r="M669" s="13"/>
      <c r="N669" s="13"/>
      <c r="O669" s="13"/>
      <c r="P669" s="13"/>
    </row>
    <row r="670" spans="1:16" x14ac:dyDescent="0.35">
      <c r="A670" s="5">
        <v>669</v>
      </c>
      <c r="B670" s="6" t="s">
        <v>676</v>
      </c>
      <c r="C670" s="7">
        <v>60</v>
      </c>
      <c r="D670" s="7" t="str">
        <f>VLOOKUP(C670,'5-Genre Codes'!$A$1:$B$11,2,FALSE)</f>
        <v>Kids Fiction</v>
      </c>
      <c r="E670" s="8">
        <v>1955</v>
      </c>
      <c r="F670" s="6">
        <v>10000</v>
      </c>
      <c r="G670" s="6" t="str">
        <f>VLOOKUP(F670,'4-Actor Codes'!$A$1:$B$622,2,FALSE)</f>
        <v>Unidentified</v>
      </c>
      <c r="H670" s="8" t="s">
        <v>10</v>
      </c>
      <c r="I670" s="9">
        <v>93600000</v>
      </c>
      <c r="J670" s="10">
        <v>55839136</v>
      </c>
      <c r="L670" s="10">
        <v>3400000</v>
      </c>
      <c r="M670" s="13"/>
      <c r="N670" s="13"/>
      <c r="O670" s="13"/>
      <c r="P670" s="13"/>
    </row>
    <row r="671" spans="1:16" ht="31" x14ac:dyDescent="0.35">
      <c r="A671" s="5">
        <v>670</v>
      </c>
      <c r="B671" s="6" t="s">
        <v>677</v>
      </c>
      <c r="C671" s="7">
        <v>50</v>
      </c>
      <c r="D671" s="7" t="str">
        <f>VLOOKUP(C671,'5-Genre Codes'!$A$1:$B$11,2,FALSE)</f>
        <v>Historical Fiction</v>
      </c>
      <c r="E671" s="8">
        <v>1985</v>
      </c>
      <c r="F671" s="6">
        <v>10045</v>
      </c>
      <c r="G671" s="6" t="str">
        <f>VLOOKUP(F671,'4-Actor Codes'!$A$1:$B$622,2,FALSE)</f>
        <v>Adolph Caesar</v>
      </c>
      <c r="H671" s="8" t="s">
        <v>10</v>
      </c>
      <c r="I671" s="9">
        <v>93589701</v>
      </c>
      <c r="J671" s="10">
        <v>313800000</v>
      </c>
      <c r="L671" s="10">
        <v>155000000</v>
      </c>
      <c r="M671" s="13"/>
      <c r="N671" s="13"/>
      <c r="O671" s="13"/>
      <c r="P671" s="13"/>
    </row>
    <row r="672" spans="1:16" ht="31" x14ac:dyDescent="0.35">
      <c r="A672" s="5">
        <v>671</v>
      </c>
      <c r="B672" s="6" t="s">
        <v>678</v>
      </c>
      <c r="C672" s="7">
        <v>10</v>
      </c>
      <c r="D672" s="7" t="str">
        <f>VLOOKUP(C672,'5-Genre Codes'!$A$1:$B$11,2,FALSE)</f>
        <v>Contemporary Fiction</v>
      </c>
      <c r="E672" s="8">
        <v>2007</v>
      </c>
      <c r="F672" s="6">
        <v>17575</v>
      </c>
      <c r="G672" s="6" t="str">
        <f>VLOOKUP(F672,'4-Actor Codes'!$A$1:$B$622,2,FALSE)</f>
        <v>Rowena King</v>
      </c>
      <c r="H672" s="8" t="s">
        <v>10</v>
      </c>
      <c r="I672" s="9">
        <v>93466502</v>
      </c>
      <c r="J672" s="10">
        <v>81344313</v>
      </c>
      <c r="L672" s="10">
        <v>45000000</v>
      </c>
      <c r="M672" s="13"/>
      <c r="N672" s="13"/>
      <c r="O672" s="13"/>
      <c r="P672" s="13"/>
    </row>
    <row r="673" spans="1:16" ht="31" x14ac:dyDescent="0.35">
      <c r="A673" s="5">
        <v>672</v>
      </c>
      <c r="B673" s="6" t="s">
        <v>679</v>
      </c>
      <c r="C673" s="7">
        <v>80</v>
      </c>
      <c r="D673" s="7" t="str">
        <f>VLOOKUP(C673,'5-Genre Codes'!$A$1:$B$11,2,FALSE)</f>
        <v>Science Fiction</v>
      </c>
      <c r="E673" s="8">
        <v>2014</v>
      </c>
      <c r="F673" s="6">
        <v>12925</v>
      </c>
      <c r="G673" s="6" t="str">
        <f>VLOOKUP(F673,'4-Actor Codes'!$A$1:$B$622,2,FALSE)</f>
        <v>George Clooney</v>
      </c>
      <c r="H673" s="8" t="s">
        <v>10</v>
      </c>
      <c r="I673" s="9">
        <v>93436322</v>
      </c>
      <c r="J673" s="10">
        <v>111900000</v>
      </c>
      <c r="L673" s="10">
        <v>170000000</v>
      </c>
      <c r="M673" s="13"/>
      <c r="N673" s="13"/>
      <c r="O673" s="13"/>
      <c r="P673" s="13"/>
    </row>
    <row r="674" spans="1:16" ht="31" x14ac:dyDescent="0.35">
      <c r="A674" s="5">
        <v>673</v>
      </c>
      <c r="B674" s="6" t="s">
        <v>680</v>
      </c>
      <c r="C674" s="7">
        <v>10</v>
      </c>
      <c r="D674" s="7" t="str">
        <f>VLOOKUP(C674,'5-Genre Codes'!$A$1:$B$11,2,FALSE)</f>
        <v>Contemporary Fiction</v>
      </c>
      <c r="E674" s="8">
        <v>2001</v>
      </c>
      <c r="F674" s="6">
        <v>10870</v>
      </c>
      <c r="G674" s="6" t="str">
        <f>VLOOKUP(F674,'4-Actor Codes'!$A$1:$B$622,2,FALSE)</f>
        <v>Billy West</v>
      </c>
      <c r="H674" s="8" t="s">
        <v>10</v>
      </c>
      <c r="I674" s="9">
        <v>93375151</v>
      </c>
      <c r="J674" s="10">
        <v>107324849</v>
      </c>
      <c r="L674" s="10">
        <v>60000000</v>
      </c>
      <c r="M674" s="13"/>
      <c r="N674" s="13"/>
      <c r="O674" s="13"/>
      <c r="P674" s="13"/>
    </row>
    <row r="675" spans="1:16" ht="31" x14ac:dyDescent="0.35">
      <c r="A675" s="5">
        <v>674</v>
      </c>
      <c r="B675" s="6" t="s">
        <v>681</v>
      </c>
      <c r="C675" s="7">
        <v>10</v>
      </c>
      <c r="D675" s="7" t="str">
        <f>VLOOKUP(C675,'5-Genre Codes'!$A$1:$B$11,2,FALSE)</f>
        <v>Contemporary Fiction</v>
      </c>
      <c r="E675" s="8">
        <v>2002</v>
      </c>
      <c r="F675" s="6">
        <v>17770</v>
      </c>
      <c r="G675" s="6" t="str">
        <f>VLOOKUP(F675,'4-Actor Codes'!$A$1:$B$622,2,FALSE)</f>
        <v>Sandra Bullock</v>
      </c>
      <c r="H675" s="8" t="s">
        <v>10</v>
      </c>
      <c r="I675" s="9">
        <v>93354918</v>
      </c>
      <c r="J675" s="10">
        <v>105688391</v>
      </c>
      <c r="L675" s="10">
        <v>60000000</v>
      </c>
      <c r="M675" s="13"/>
      <c r="N675" s="13"/>
      <c r="O675" s="13"/>
      <c r="P675" s="13"/>
    </row>
    <row r="676" spans="1:16" ht="31" x14ac:dyDescent="0.35">
      <c r="A676" s="5">
        <v>675</v>
      </c>
      <c r="B676" s="6" t="s">
        <v>682</v>
      </c>
      <c r="C676" s="7">
        <v>10</v>
      </c>
      <c r="D676" s="7" t="str">
        <f>VLOOKUP(C676,'5-Genre Codes'!$A$1:$B$11,2,FALSE)</f>
        <v>Contemporary Fiction</v>
      </c>
      <c r="E676" s="8">
        <v>1972</v>
      </c>
      <c r="F676" s="6">
        <v>12910</v>
      </c>
      <c r="G676" s="6" t="str">
        <f>VLOOKUP(F676,'4-Actor Codes'!$A$1:$B$622,2,FALSE)</f>
        <v>Gene Hackman</v>
      </c>
      <c r="H676" s="8" t="s">
        <v>10</v>
      </c>
      <c r="I676" s="9">
        <v>93300000</v>
      </c>
      <c r="J676" s="10">
        <v>124100000</v>
      </c>
      <c r="L676" s="10">
        <v>170000000</v>
      </c>
      <c r="M676" s="13"/>
      <c r="N676" s="13"/>
      <c r="O676" s="13"/>
      <c r="P676" s="13"/>
    </row>
    <row r="677" spans="1:16" x14ac:dyDescent="0.35">
      <c r="A677" s="5">
        <v>676</v>
      </c>
      <c r="B677" s="6" t="s">
        <v>683</v>
      </c>
      <c r="C677" s="7">
        <v>30</v>
      </c>
      <c r="D677" s="7" t="str">
        <f>VLOOKUP(C677,'5-Genre Codes'!$A$1:$B$11,2,FALSE)</f>
        <v>Factual</v>
      </c>
      <c r="E677" s="8">
        <v>2002</v>
      </c>
      <c r="F677" s="6">
        <v>18745</v>
      </c>
      <c r="G677" s="6" t="str">
        <f>VLOOKUP(F677,'4-Actor Codes'!$A$1:$B$622,2,FALSE)</f>
        <v>Tom Cruise</v>
      </c>
      <c r="H677" s="8" t="s">
        <v>10</v>
      </c>
      <c r="I677" s="9">
        <v>93136620</v>
      </c>
      <c r="J677" s="10">
        <v>159736466</v>
      </c>
      <c r="L677" s="10">
        <v>80000000</v>
      </c>
      <c r="M677" s="13"/>
      <c r="N677" s="13"/>
      <c r="O677" s="13"/>
      <c r="P677" s="13"/>
    </row>
    <row r="678" spans="1:16" ht="31" x14ac:dyDescent="0.35">
      <c r="A678" s="5">
        <v>677</v>
      </c>
      <c r="B678" s="6" t="s">
        <v>684</v>
      </c>
      <c r="C678" s="7">
        <v>80</v>
      </c>
      <c r="D678" s="7" t="str">
        <f>VLOOKUP(C678,'5-Genre Codes'!$A$1:$B$11,2,FALSE)</f>
        <v>Science Fiction</v>
      </c>
      <c r="E678" s="8">
        <v>2012</v>
      </c>
      <c r="F678" s="6">
        <v>19090</v>
      </c>
      <c r="G678" s="6" t="str">
        <f>VLOOKUP(F678,'4-Actor Codes'!$A$1:$B$622,2,FALSE)</f>
        <v>Wagner Moura</v>
      </c>
      <c r="H678" s="8" t="s">
        <v>10</v>
      </c>
      <c r="I678" s="9">
        <v>93050117</v>
      </c>
      <c r="J678" s="10">
        <v>193141974</v>
      </c>
      <c r="L678" s="10">
        <v>120000000</v>
      </c>
      <c r="M678" s="13"/>
      <c r="N678" s="13"/>
      <c r="O678" s="13"/>
      <c r="P678" s="13"/>
    </row>
    <row r="679" spans="1:16" ht="31" x14ac:dyDescent="0.35">
      <c r="A679" s="5">
        <v>678</v>
      </c>
      <c r="B679" s="6" t="s">
        <v>685</v>
      </c>
      <c r="C679" s="7">
        <v>60</v>
      </c>
      <c r="D679" s="7" t="str">
        <f>VLOOKUP(C679,'5-Genre Codes'!$A$1:$B$11,2,FALSE)</f>
        <v>Kids Fiction</v>
      </c>
      <c r="E679" s="8">
        <v>1997</v>
      </c>
      <c r="F679" s="6">
        <v>11500</v>
      </c>
      <c r="G679" s="6" t="str">
        <f>VLOOKUP(F679,'4-Actor Codes'!$A$1:$B$622,2,FALSE)</f>
        <v>Christopher McDonald</v>
      </c>
      <c r="H679" s="8" t="s">
        <v>10</v>
      </c>
      <c r="I679" s="9">
        <v>92969824</v>
      </c>
      <c r="J679" s="10">
        <v>85000000</v>
      </c>
      <c r="L679" s="10">
        <v>80000000</v>
      </c>
      <c r="M679" s="13"/>
      <c r="N679" s="13"/>
      <c r="O679" s="13"/>
      <c r="P679" s="13"/>
    </row>
    <row r="680" spans="1:16" ht="31" x14ac:dyDescent="0.35">
      <c r="A680" s="5">
        <v>679</v>
      </c>
      <c r="B680" s="6" t="s">
        <v>686</v>
      </c>
      <c r="C680" s="7">
        <v>10</v>
      </c>
      <c r="D680" s="7" t="str">
        <f>VLOOKUP(C680,'5-Genre Codes'!$A$1:$B$11,2,FALSE)</f>
        <v>Contemporary Fiction</v>
      </c>
      <c r="E680" s="8">
        <v>2002</v>
      </c>
      <c r="F680" s="6">
        <v>10480</v>
      </c>
      <c r="G680" s="6" t="str">
        <f>VLOOKUP(F680,'4-Actor Codes'!$A$1:$B$622,2,FALSE)</f>
        <v>Anthony Hopkins</v>
      </c>
      <c r="H680" s="8" t="s">
        <v>10</v>
      </c>
      <c r="I680" s="9">
        <v>92955420</v>
      </c>
      <c r="J680" s="10">
        <v>113500000</v>
      </c>
      <c r="L680" s="10">
        <v>78000000</v>
      </c>
      <c r="M680" s="13"/>
      <c r="N680" s="13"/>
      <c r="O680" s="13"/>
      <c r="P680" s="13"/>
    </row>
    <row r="681" spans="1:16" ht="31" x14ac:dyDescent="0.35">
      <c r="A681" s="5">
        <v>680</v>
      </c>
      <c r="B681" s="6" t="s">
        <v>687</v>
      </c>
      <c r="C681" s="7">
        <v>10</v>
      </c>
      <c r="D681" s="7" t="str">
        <f>VLOOKUP(C681,'5-Genre Codes'!$A$1:$B$11,2,FALSE)</f>
        <v>Contemporary Fiction</v>
      </c>
      <c r="E681" s="8">
        <v>2010</v>
      </c>
      <c r="F681" s="6">
        <v>10630</v>
      </c>
      <c r="G681" s="6" t="str">
        <f>VLOOKUP(F681,'4-Actor Codes'!$A$1:$B$622,2,FALSE)</f>
        <v>Ben Affleck</v>
      </c>
      <c r="H681" s="8" t="s">
        <v>10</v>
      </c>
      <c r="I681" s="9">
        <v>92186262</v>
      </c>
      <c r="J681" s="10">
        <v>60380619</v>
      </c>
      <c r="L681" s="10">
        <v>37000000</v>
      </c>
      <c r="M681" s="13"/>
      <c r="N681" s="13"/>
      <c r="O681" s="13"/>
      <c r="P681" s="13"/>
    </row>
    <row r="682" spans="1:16" ht="31" x14ac:dyDescent="0.35">
      <c r="A682" s="5">
        <v>681</v>
      </c>
      <c r="B682" s="6" t="s">
        <v>688</v>
      </c>
      <c r="C682" s="7">
        <v>10</v>
      </c>
      <c r="D682" s="7" t="str">
        <f>VLOOKUP(C682,'5-Genre Codes'!$A$1:$B$11,2,FALSE)</f>
        <v>Contemporary Fiction</v>
      </c>
      <c r="E682" s="8">
        <v>1994</v>
      </c>
      <c r="F682" s="6">
        <v>19210</v>
      </c>
      <c r="G682" s="6" t="str">
        <f>VLOOKUP(F682,'4-Actor Codes'!$A$1:$B$622,2,FALSE)</f>
        <v>William Sanderson</v>
      </c>
      <c r="H682" s="8" t="s">
        <v>10</v>
      </c>
      <c r="I682" s="9">
        <v>92112663</v>
      </c>
      <c r="J682" s="10">
        <v>313800000</v>
      </c>
      <c r="L682" s="10">
        <v>155000000</v>
      </c>
      <c r="M682" s="13"/>
      <c r="N682" s="13"/>
      <c r="O682" s="13"/>
      <c r="P682" s="13"/>
    </row>
    <row r="683" spans="1:16" ht="31" x14ac:dyDescent="0.35">
      <c r="A683" s="5">
        <v>682</v>
      </c>
      <c r="B683" s="6" t="s">
        <v>689</v>
      </c>
      <c r="C683" s="7">
        <v>80</v>
      </c>
      <c r="D683" s="7" t="str">
        <f>VLOOKUP(C683,'5-Genre Codes'!$A$1:$B$11,2,FALSE)</f>
        <v>Science Fiction</v>
      </c>
      <c r="E683" s="8">
        <v>1996</v>
      </c>
      <c r="F683" s="6">
        <v>16660</v>
      </c>
      <c r="G683" s="6" t="str">
        <f>VLOOKUP(F683,'4-Actor Codes'!$A$1:$B$622,2,FALSE)</f>
        <v>Patrick Stewart</v>
      </c>
      <c r="H683" s="8" t="s">
        <v>13</v>
      </c>
      <c r="I683" s="9">
        <v>91968563</v>
      </c>
      <c r="J683" s="10">
        <v>57972112</v>
      </c>
      <c r="L683" s="10">
        <v>46000000</v>
      </c>
      <c r="M683" s="13"/>
      <c r="N683" s="13"/>
      <c r="O683" s="13"/>
      <c r="P683" s="13"/>
    </row>
    <row r="684" spans="1:16" ht="31" x14ac:dyDescent="0.35">
      <c r="A684" s="5">
        <v>683</v>
      </c>
      <c r="B684" s="6" t="s">
        <v>690</v>
      </c>
      <c r="C684" s="7">
        <v>10</v>
      </c>
      <c r="D684" s="7" t="str">
        <f>VLOOKUP(C684,'5-Genre Codes'!$A$1:$B$11,2,FALSE)</f>
        <v>Contemporary Fiction</v>
      </c>
      <c r="E684" s="8">
        <v>1989</v>
      </c>
      <c r="F684" s="6">
        <v>10855</v>
      </c>
      <c r="G684" s="6" t="str">
        <f>VLOOKUP(F684,'4-Actor Codes'!$A$1:$B$622,2,FALSE)</f>
        <v>Billy Crystal</v>
      </c>
      <c r="H684" s="8" t="s">
        <v>10</v>
      </c>
      <c r="I684" s="9">
        <v>91744616</v>
      </c>
      <c r="J684" s="10">
        <v>191300000</v>
      </c>
      <c r="L684" s="10">
        <v>65000000</v>
      </c>
      <c r="M684" s="13"/>
      <c r="N684" s="13"/>
      <c r="O684" s="13"/>
      <c r="P684" s="13"/>
    </row>
    <row r="685" spans="1:16" ht="31" x14ac:dyDescent="0.35">
      <c r="A685" s="5">
        <v>684</v>
      </c>
      <c r="B685" s="6" t="s">
        <v>691</v>
      </c>
      <c r="C685" s="7">
        <v>10</v>
      </c>
      <c r="D685" s="7" t="str">
        <f>VLOOKUP(C685,'5-Genre Codes'!$A$1:$B$11,2,FALSE)</f>
        <v>Contemporary Fiction</v>
      </c>
      <c r="E685" s="8">
        <v>2013</v>
      </c>
      <c r="F685" s="6">
        <v>15265</v>
      </c>
      <c r="G685" s="6" t="str">
        <f>VLOOKUP(F685,'4-Actor Codes'!$A$1:$B$622,2,FALSE)</f>
        <v>Liam Neeson</v>
      </c>
      <c r="H685" s="8" t="s">
        <v>10</v>
      </c>
      <c r="I685" s="9">
        <v>91742160</v>
      </c>
      <c r="J685" s="10">
        <v>121000000</v>
      </c>
      <c r="L685" s="10">
        <v>50000000</v>
      </c>
      <c r="M685" s="13"/>
      <c r="N685" s="13"/>
      <c r="O685" s="13"/>
      <c r="P685" s="13"/>
    </row>
    <row r="686" spans="1:16" ht="31" x14ac:dyDescent="0.35">
      <c r="A686" s="5">
        <v>685</v>
      </c>
      <c r="B686" s="6" t="s">
        <v>692</v>
      </c>
      <c r="C686" s="7">
        <v>10</v>
      </c>
      <c r="D686" s="7" t="str">
        <f>VLOOKUP(C686,'5-Genre Codes'!$A$1:$B$11,2,FALSE)</f>
        <v>Contemporary Fiction</v>
      </c>
      <c r="E686" s="8">
        <v>2012</v>
      </c>
      <c r="F686" s="6">
        <v>16015</v>
      </c>
      <c r="G686" s="6" t="str">
        <f>VLOOKUP(F686,'4-Actor Codes'!$A$1:$B$622,2,FALSE)</f>
        <v>Michael Ealy</v>
      </c>
      <c r="H686" s="8" t="s">
        <v>10</v>
      </c>
      <c r="I686" s="9">
        <v>91547205</v>
      </c>
      <c r="J686" s="10">
        <v>183615348</v>
      </c>
      <c r="L686" s="10">
        <v>22000000</v>
      </c>
      <c r="M686" s="13"/>
      <c r="N686" s="13"/>
      <c r="O686" s="13"/>
      <c r="P686" s="13"/>
    </row>
    <row r="687" spans="1:16" ht="31" x14ac:dyDescent="0.35">
      <c r="A687" s="5">
        <v>686</v>
      </c>
      <c r="B687" s="6" t="s">
        <v>693</v>
      </c>
      <c r="C687" s="7">
        <v>20</v>
      </c>
      <c r="D687" s="7" t="str">
        <f>VLOOKUP(C687,'5-Genre Codes'!$A$1:$B$11,2,FALSE)</f>
        <v>Dramatization</v>
      </c>
      <c r="E687" s="8">
        <v>2013</v>
      </c>
      <c r="F687" s="6">
        <v>13060</v>
      </c>
      <c r="G687" s="6" t="str">
        <f>VLOOKUP(F687,'4-Actor Codes'!$A$1:$B$622,2,FALSE)</f>
        <v>Greg Kinnear</v>
      </c>
      <c r="H687" s="8" t="s">
        <v>10</v>
      </c>
      <c r="I687" s="9">
        <v>91386097</v>
      </c>
      <c r="J687" s="10">
        <v>120000000</v>
      </c>
      <c r="L687" s="10">
        <v>0</v>
      </c>
      <c r="M687" s="13"/>
      <c r="N687" s="13"/>
      <c r="O687" s="13"/>
      <c r="P687" s="13"/>
    </row>
    <row r="688" spans="1:16" ht="31" x14ac:dyDescent="0.35">
      <c r="A688" s="5">
        <v>687</v>
      </c>
      <c r="B688" s="6" t="s">
        <v>694</v>
      </c>
      <c r="C688" s="7">
        <v>10</v>
      </c>
      <c r="D688" s="7" t="str">
        <f>VLOOKUP(C688,'5-Genre Codes'!$A$1:$B$11,2,FALSE)</f>
        <v>Contemporary Fiction</v>
      </c>
      <c r="E688" s="8">
        <v>1995</v>
      </c>
      <c r="F688" s="6">
        <v>15295</v>
      </c>
      <c r="G688" s="6" t="str">
        <f>VLOOKUP(F688,'4-Actor Codes'!$A$1:$B$622,2,FALSE)</f>
        <v>Lilo Brancato</v>
      </c>
      <c r="H688" s="8" t="s">
        <v>10</v>
      </c>
      <c r="I688" s="9">
        <v>91381194</v>
      </c>
      <c r="J688" s="10">
        <v>68000000</v>
      </c>
      <c r="L688" s="10">
        <v>55000000</v>
      </c>
      <c r="M688" s="13"/>
      <c r="N688" s="13"/>
      <c r="O688" s="13"/>
      <c r="P688" s="13"/>
    </row>
    <row r="689" spans="1:16" ht="31" x14ac:dyDescent="0.35">
      <c r="A689" s="5">
        <v>688</v>
      </c>
      <c r="B689" s="6" t="s">
        <v>695</v>
      </c>
      <c r="C689" s="7">
        <v>10</v>
      </c>
      <c r="D689" s="7" t="str">
        <f>VLOOKUP(C689,'5-Genre Codes'!$A$1:$B$11,2,FALSE)</f>
        <v>Contemporary Fiction</v>
      </c>
      <c r="E689" s="8">
        <v>1999</v>
      </c>
      <c r="F689" s="6">
        <v>12055</v>
      </c>
      <c r="G689" s="6" t="str">
        <f>VLOOKUP(F689,'4-Actor Codes'!$A$1:$B$622,2,FALSE)</f>
        <v>Debi Derryberry</v>
      </c>
      <c r="H689" s="8" t="s">
        <v>10</v>
      </c>
      <c r="I689" s="9">
        <v>91188905</v>
      </c>
      <c r="J689" s="10">
        <v>89000000</v>
      </c>
      <c r="L689" s="10">
        <v>80000000</v>
      </c>
      <c r="M689" s="13"/>
      <c r="N689" s="13"/>
      <c r="O689" s="13"/>
      <c r="P689" s="13"/>
    </row>
    <row r="690" spans="1:16" ht="46.5" x14ac:dyDescent="0.35">
      <c r="A690" s="5">
        <v>689</v>
      </c>
      <c r="B690" s="6" t="s">
        <v>696</v>
      </c>
      <c r="C690" s="7">
        <v>20</v>
      </c>
      <c r="D690" s="7" t="str">
        <f>VLOOKUP(C690,'5-Genre Codes'!$A$1:$B$11,2,FALSE)</f>
        <v>Dramatization</v>
      </c>
      <c r="E690" s="8">
        <v>2014</v>
      </c>
      <c r="F690" s="6">
        <v>10675</v>
      </c>
      <c r="G690" s="6" t="str">
        <f>VLOOKUP(F690,'4-Actor Codes'!$A$1:$B$622,2,FALSE)</f>
        <v>Benedict Cumberbatch</v>
      </c>
      <c r="H690" s="8" t="s">
        <v>10</v>
      </c>
      <c r="I690" s="9">
        <v>91125143</v>
      </c>
      <c r="J690" s="10">
        <v>136648543</v>
      </c>
      <c r="L690" s="10">
        <v>15000000</v>
      </c>
      <c r="M690" s="13"/>
      <c r="N690" s="13"/>
      <c r="O690" s="13"/>
      <c r="P690" s="13"/>
    </row>
    <row r="691" spans="1:16" ht="31" x14ac:dyDescent="0.35">
      <c r="A691" s="5">
        <v>690</v>
      </c>
      <c r="B691" s="6" t="s">
        <v>697</v>
      </c>
      <c r="C691" s="7">
        <v>10</v>
      </c>
      <c r="D691" s="7" t="str">
        <f>VLOOKUP(C691,'5-Genre Codes'!$A$1:$B$11,2,FALSE)</f>
        <v>Contemporary Fiction</v>
      </c>
      <c r="E691" s="8">
        <v>2001</v>
      </c>
      <c r="F691" s="6">
        <v>14545</v>
      </c>
      <c r="G691" s="6" t="str">
        <f>VLOOKUP(F691,'4-Actor Codes'!$A$1:$B$622,2,FALSE)</f>
        <v>Julia Stiles</v>
      </c>
      <c r="H691" s="8" t="s">
        <v>10</v>
      </c>
      <c r="I691" s="9">
        <v>91038276</v>
      </c>
      <c r="J691" s="10">
        <v>142913876</v>
      </c>
      <c r="L691" s="10">
        <v>0</v>
      </c>
      <c r="M691" s="13"/>
      <c r="N691" s="13"/>
      <c r="O691" s="13"/>
      <c r="P691" s="13"/>
    </row>
    <row r="692" spans="1:16" ht="31" x14ac:dyDescent="0.35">
      <c r="A692" s="5">
        <v>691</v>
      </c>
      <c r="B692" s="6" t="s">
        <v>698</v>
      </c>
      <c r="C692" s="7">
        <v>10</v>
      </c>
      <c r="D692" s="7" t="str">
        <f>VLOOKUP(C692,'5-Genre Codes'!$A$1:$B$11,2,FALSE)</f>
        <v>Contemporary Fiction</v>
      </c>
      <c r="E692" s="8">
        <v>1998</v>
      </c>
      <c r="F692" s="6">
        <v>14530</v>
      </c>
      <c r="G692" s="6" t="str">
        <f>VLOOKUP(F692,'4-Actor Codes'!$A$1:$B$622,2,FALSE)</f>
        <v>Julia Roberts</v>
      </c>
      <c r="H692" s="8" t="s">
        <v>10</v>
      </c>
      <c r="I692" s="9">
        <v>91030827</v>
      </c>
      <c r="J692" s="10">
        <v>68607617</v>
      </c>
      <c r="L692" s="10">
        <v>50000000</v>
      </c>
      <c r="M692" s="13"/>
      <c r="N692" s="13"/>
      <c r="O692" s="13"/>
      <c r="P692" s="13"/>
    </row>
    <row r="693" spans="1:16" ht="31" x14ac:dyDescent="0.35">
      <c r="A693" s="5">
        <v>692</v>
      </c>
      <c r="B693" s="6" t="s">
        <v>220</v>
      </c>
      <c r="C693" s="7">
        <v>10</v>
      </c>
      <c r="D693" s="7" t="str">
        <f>VLOOKUP(C693,'5-Genre Codes'!$A$1:$B$11,2,FALSE)</f>
        <v>Contemporary Fiction</v>
      </c>
      <c r="E693" s="8">
        <v>1984</v>
      </c>
      <c r="F693" s="6">
        <v>19180</v>
      </c>
      <c r="G693" s="6" t="str">
        <f>VLOOKUP(F693,'4-Actor Codes'!$A$1:$B$622,2,FALSE)</f>
        <v>William Bassett</v>
      </c>
      <c r="H693" s="8" t="s">
        <v>10</v>
      </c>
      <c r="I693" s="9">
        <v>90815558</v>
      </c>
      <c r="J693" s="10">
        <v>175183320</v>
      </c>
      <c r="L693" s="10">
        <v>40000000</v>
      </c>
      <c r="M693" s="13"/>
      <c r="N693" s="13"/>
      <c r="O693" s="13"/>
      <c r="P693" s="13"/>
    </row>
    <row r="694" spans="1:16" ht="31" x14ac:dyDescent="0.35">
      <c r="A694" s="5">
        <v>693</v>
      </c>
      <c r="B694" s="6" t="s">
        <v>699</v>
      </c>
      <c r="C694" s="7">
        <v>40</v>
      </c>
      <c r="D694" s="7" t="str">
        <f>VLOOKUP(C694,'5-Genre Codes'!$A$1:$B$11,2,FALSE)</f>
        <v>Fantasy</v>
      </c>
      <c r="E694" s="8">
        <v>2010</v>
      </c>
      <c r="F694" s="6">
        <v>18280</v>
      </c>
      <c r="G694" s="6" t="str">
        <f>VLOOKUP(F694,'4-Actor Codes'!$A$1:$B$622,2,FALSE)</f>
        <v>Steve Toussaint</v>
      </c>
      <c r="H694" s="8" t="s">
        <v>10</v>
      </c>
      <c r="I694" s="9">
        <v>90759676</v>
      </c>
      <c r="J694" s="10">
        <v>223834921</v>
      </c>
      <c r="L694" s="10">
        <v>200000000</v>
      </c>
      <c r="M694" s="13"/>
      <c r="N694" s="13"/>
      <c r="O694" s="13"/>
      <c r="P694" s="13"/>
    </row>
    <row r="695" spans="1:16" ht="31" x14ac:dyDescent="0.35">
      <c r="A695" s="5">
        <v>694</v>
      </c>
      <c r="B695" s="6" t="s">
        <v>700</v>
      </c>
      <c r="C695" s="7">
        <v>10</v>
      </c>
      <c r="D695" s="7" t="str">
        <f>VLOOKUP(C695,'5-Genre Codes'!$A$1:$B$11,2,FALSE)</f>
        <v>Contemporary Fiction</v>
      </c>
      <c r="E695" s="8">
        <v>2006</v>
      </c>
      <c r="F695" s="6">
        <v>10375</v>
      </c>
      <c r="G695" s="6" t="str">
        <f>VLOOKUP(F695,'4-Actor Codes'!$A$1:$B$622,2,FALSE)</f>
        <v>Anna Faris</v>
      </c>
      <c r="H695" s="8" t="s">
        <v>13</v>
      </c>
      <c r="I695" s="9">
        <v>90710620</v>
      </c>
      <c r="J695" s="10">
        <v>88000000</v>
      </c>
      <c r="L695" s="10">
        <v>40000000</v>
      </c>
      <c r="M695" s="13"/>
      <c r="N695" s="13"/>
      <c r="O695" s="13"/>
      <c r="P695" s="13"/>
    </row>
    <row r="696" spans="1:16" ht="31" x14ac:dyDescent="0.35">
      <c r="A696" s="5">
        <v>695</v>
      </c>
      <c r="B696" s="6" t="s">
        <v>701</v>
      </c>
      <c r="C696" s="7">
        <v>10</v>
      </c>
      <c r="D696" s="7" t="str">
        <f>VLOOKUP(C696,'5-Genre Codes'!$A$1:$B$11,2,FALSE)</f>
        <v>Contemporary Fiction</v>
      </c>
      <c r="E696" s="8">
        <v>2007</v>
      </c>
      <c r="F696" s="6">
        <v>13540</v>
      </c>
      <c r="G696" s="6" t="str">
        <f>VLOOKUP(F696,'4-Actor Codes'!$A$1:$B$622,2,FALSE)</f>
        <v>Jamal Duff</v>
      </c>
      <c r="H696" s="8" t="s">
        <v>10</v>
      </c>
      <c r="I696" s="9">
        <v>90648202</v>
      </c>
      <c r="J696" s="10">
        <v>55942785</v>
      </c>
      <c r="L696" s="10">
        <v>22000000</v>
      </c>
      <c r="M696" s="13"/>
      <c r="N696" s="13"/>
      <c r="O696" s="13"/>
      <c r="P696" s="13"/>
    </row>
    <row r="697" spans="1:16" ht="31" x14ac:dyDescent="0.35">
      <c r="A697" s="5">
        <v>696</v>
      </c>
      <c r="B697" s="6" t="s">
        <v>702</v>
      </c>
      <c r="C697" s="7">
        <v>60</v>
      </c>
      <c r="D697" s="7" t="str">
        <f>VLOOKUP(C697,'5-Genre Codes'!$A$1:$B$11,2,FALSE)</f>
        <v>Kids Fiction</v>
      </c>
      <c r="E697" s="8">
        <v>1998</v>
      </c>
      <c r="F697" s="6">
        <v>16750</v>
      </c>
      <c r="G697" s="6" t="str">
        <f>VLOOKUP(F697,'4-Actor Codes'!$A$1:$B$622,2,FALSE)</f>
        <v>Paul Mazursky</v>
      </c>
      <c r="H697" s="8" t="s">
        <v>10</v>
      </c>
      <c r="I697" s="9">
        <v>90646554</v>
      </c>
      <c r="J697" s="10">
        <v>61700000</v>
      </c>
      <c r="L697" s="10">
        <v>60000000</v>
      </c>
      <c r="M697" s="13"/>
      <c r="N697" s="13"/>
      <c r="O697" s="13"/>
      <c r="P697" s="13"/>
    </row>
    <row r="698" spans="1:16" ht="31" x14ac:dyDescent="0.35">
      <c r="A698" s="5">
        <v>697</v>
      </c>
      <c r="B698" s="6" t="s">
        <v>703</v>
      </c>
      <c r="C698" s="7">
        <v>40</v>
      </c>
      <c r="D698" s="7" t="str">
        <f>VLOOKUP(C698,'5-Genre Codes'!$A$1:$B$11,2,FALSE)</f>
        <v>Fantasy</v>
      </c>
      <c r="E698" s="8">
        <v>2002</v>
      </c>
      <c r="F698" s="6">
        <v>12355</v>
      </c>
      <c r="G698" s="6" t="str">
        <f>VLOOKUP(F698,'4-Actor Codes'!$A$1:$B$622,2,FALSE)</f>
        <v>Dwayne Johnson</v>
      </c>
      <c r="H698" s="8" t="s">
        <v>10</v>
      </c>
      <c r="I698" s="9">
        <v>90580000</v>
      </c>
      <c r="J698" s="10">
        <v>75310634</v>
      </c>
      <c r="L698" s="10">
        <v>60000000</v>
      </c>
      <c r="M698" s="13"/>
      <c r="N698" s="13"/>
      <c r="O698" s="13"/>
      <c r="P698" s="13"/>
    </row>
    <row r="699" spans="1:16" ht="31" x14ac:dyDescent="0.35">
      <c r="A699" s="5">
        <v>698</v>
      </c>
      <c r="B699" s="6" t="s">
        <v>704</v>
      </c>
      <c r="C699" s="7">
        <v>10</v>
      </c>
      <c r="D699" s="7" t="str">
        <f>VLOOKUP(C699,'5-Genre Codes'!$A$1:$B$11,2,FALSE)</f>
        <v>Contemporary Fiction</v>
      </c>
      <c r="E699" s="8">
        <v>2000</v>
      </c>
      <c r="F699" s="6">
        <v>14155</v>
      </c>
      <c r="G699" s="6" t="str">
        <f>VLOOKUP(F699,'4-Actor Codes'!$A$1:$B$622,2,FALSE)</f>
        <v>Jim Carrey</v>
      </c>
      <c r="H699" s="8" t="s">
        <v>10</v>
      </c>
      <c r="I699" s="9">
        <v>90570999</v>
      </c>
      <c r="J699" s="10">
        <v>58700000</v>
      </c>
      <c r="L699" s="10">
        <v>51000000</v>
      </c>
      <c r="M699" s="13"/>
      <c r="N699" s="13"/>
      <c r="O699" s="13"/>
      <c r="P699" s="13"/>
    </row>
    <row r="700" spans="1:16" ht="46.5" x14ac:dyDescent="0.35">
      <c r="A700" s="5">
        <v>699</v>
      </c>
      <c r="B700" s="6" t="s">
        <v>705</v>
      </c>
      <c r="C700" s="7">
        <v>10</v>
      </c>
      <c r="D700" s="7" t="str">
        <f>VLOOKUP(C700,'5-Genre Codes'!$A$1:$B$11,2,FALSE)</f>
        <v>Contemporary Fiction</v>
      </c>
      <c r="E700" s="8">
        <v>2008</v>
      </c>
      <c r="F700" s="6">
        <v>13945</v>
      </c>
      <c r="G700" s="6" t="str">
        <f>VLOOKUP(F700,'4-Actor Codes'!$A$1:$B$622,2,FALSE)</f>
        <v>Jemma McKenzie-Brown</v>
      </c>
      <c r="H700" s="8" t="s">
        <v>13</v>
      </c>
      <c r="I700" s="9">
        <v>90559416</v>
      </c>
      <c r="J700" s="10">
        <v>183833464</v>
      </c>
      <c r="L700" s="10">
        <v>11000000</v>
      </c>
      <c r="M700" s="13"/>
      <c r="N700" s="13"/>
      <c r="O700" s="13"/>
      <c r="P700" s="13"/>
    </row>
    <row r="701" spans="1:16" ht="31" x14ac:dyDescent="0.35">
      <c r="A701" s="5">
        <v>700</v>
      </c>
      <c r="B701" s="6" t="s">
        <v>706</v>
      </c>
      <c r="C701" s="7">
        <v>10</v>
      </c>
      <c r="D701" s="7" t="str">
        <f>VLOOKUP(C701,'5-Genre Codes'!$A$1:$B$11,2,FALSE)</f>
        <v>Contemporary Fiction</v>
      </c>
      <c r="E701" s="8">
        <v>2009</v>
      </c>
      <c r="F701" s="6">
        <v>18970</v>
      </c>
      <c r="G701" s="6" t="str">
        <f>VLOOKUP(F701,'4-Actor Codes'!$A$1:$B$622,2,FALSE)</f>
        <v>Tyler Perry</v>
      </c>
      <c r="H701" s="8" t="s">
        <v>10</v>
      </c>
      <c r="I701" s="9">
        <v>90508336</v>
      </c>
      <c r="J701" s="10">
        <v>419505894</v>
      </c>
      <c r="L701" s="10">
        <v>150000000</v>
      </c>
      <c r="M701" s="13"/>
      <c r="N701" s="13"/>
      <c r="O701" s="13"/>
      <c r="P701" s="13"/>
    </row>
    <row r="702" spans="1:16" ht="31" x14ac:dyDescent="0.35">
      <c r="A702" s="5">
        <v>701</v>
      </c>
      <c r="B702" s="6" t="s">
        <v>707</v>
      </c>
      <c r="C702" s="7">
        <v>10</v>
      </c>
      <c r="D702" s="7" t="str">
        <f>VLOOKUP(C702,'5-Genre Codes'!$A$1:$B$11,2,FALSE)</f>
        <v>Contemporary Fiction</v>
      </c>
      <c r="E702" s="8">
        <v>1983</v>
      </c>
      <c r="F702" s="6">
        <v>13975</v>
      </c>
      <c r="G702" s="6" t="str">
        <f>VLOOKUP(F702,'4-Actor Codes'!$A$1:$B$622,2,FALSE)</f>
        <v>Jennifer Beals</v>
      </c>
      <c r="H702" s="8" t="s">
        <v>10</v>
      </c>
      <c r="I702" s="9">
        <v>90463574</v>
      </c>
      <c r="J702" s="10">
        <v>111000000</v>
      </c>
      <c r="L702" s="10">
        <v>7000000</v>
      </c>
      <c r="M702" s="13"/>
      <c r="N702" s="13"/>
      <c r="O702" s="13"/>
      <c r="P702" s="13"/>
    </row>
    <row r="703" spans="1:16" ht="31" x14ac:dyDescent="0.35">
      <c r="A703" s="5">
        <v>702</v>
      </c>
      <c r="B703" s="6" t="s">
        <v>708</v>
      </c>
      <c r="C703" s="7">
        <v>80</v>
      </c>
      <c r="D703" s="7" t="str">
        <f>VLOOKUP(C703,'5-Genre Codes'!$A$1:$B$11,2,FALSE)</f>
        <v>Science Fiction</v>
      </c>
      <c r="E703" s="8">
        <v>2000</v>
      </c>
      <c r="F703" s="6">
        <v>11605</v>
      </c>
      <c r="G703" s="6" t="str">
        <f>VLOOKUP(F703,'4-Actor Codes'!$A$1:$B$622,2,FALSE)</f>
        <v>Clint Eastwood</v>
      </c>
      <c r="H703" s="8" t="s">
        <v>10</v>
      </c>
      <c r="I703" s="9">
        <v>90454043</v>
      </c>
      <c r="J703" s="10">
        <v>85716272</v>
      </c>
      <c r="L703" s="10">
        <v>32000000</v>
      </c>
      <c r="M703" s="13"/>
      <c r="N703" s="13"/>
      <c r="O703" s="13"/>
      <c r="P703" s="13"/>
    </row>
    <row r="704" spans="1:16" ht="31" x14ac:dyDescent="0.35">
      <c r="A704" s="5">
        <v>703</v>
      </c>
      <c r="B704" s="6" t="s">
        <v>709</v>
      </c>
      <c r="C704" s="7">
        <v>60</v>
      </c>
      <c r="D704" s="7" t="str">
        <f>VLOOKUP(C704,'5-Genre Codes'!$A$1:$B$11,2,FALSE)</f>
        <v>Kids Fiction</v>
      </c>
      <c r="E704" s="8">
        <v>1996</v>
      </c>
      <c r="F704" s="6">
        <v>11875</v>
      </c>
      <c r="G704" s="6" t="str">
        <f>VLOOKUP(F704,'4-Actor Codes'!$A$1:$B$622,2,FALSE)</f>
        <v>Danny De Vito</v>
      </c>
      <c r="H704" s="8" t="s">
        <v>10</v>
      </c>
      <c r="I704" s="9">
        <v>90443603</v>
      </c>
      <c r="J704" s="10">
        <v>159736466</v>
      </c>
      <c r="L704" s="10">
        <v>80000000</v>
      </c>
      <c r="M704" s="13"/>
      <c r="N704" s="13"/>
      <c r="O704" s="13"/>
      <c r="P704" s="13"/>
    </row>
    <row r="705" spans="1:16" ht="31" x14ac:dyDescent="0.35">
      <c r="A705" s="5">
        <v>704</v>
      </c>
      <c r="B705" s="6" t="s">
        <v>710</v>
      </c>
      <c r="C705" s="7">
        <v>10</v>
      </c>
      <c r="D705" s="7" t="str">
        <f>VLOOKUP(C705,'5-Genre Codes'!$A$1:$B$11,2,FALSE)</f>
        <v>Contemporary Fiction</v>
      </c>
      <c r="E705" s="8">
        <v>2015</v>
      </c>
      <c r="F705" s="6">
        <v>19135</v>
      </c>
      <c r="G705" s="6" t="str">
        <f>VLOOKUP(F705,'4-Actor Codes'!$A$1:$B$622,2,FALSE)</f>
        <v>Will Ferrell</v>
      </c>
      <c r="H705" s="8" t="s">
        <v>10</v>
      </c>
      <c r="I705" s="9">
        <v>90411453</v>
      </c>
      <c r="J705" s="10">
        <v>173381071</v>
      </c>
      <c r="L705" s="10">
        <v>150000000</v>
      </c>
      <c r="M705" s="13"/>
      <c r="N705" s="13"/>
      <c r="O705" s="13"/>
      <c r="P705" s="13"/>
    </row>
    <row r="706" spans="1:16" ht="31" x14ac:dyDescent="0.35">
      <c r="A706" s="5">
        <v>705</v>
      </c>
      <c r="B706" s="6" t="s">
        <v>711</v>
      </c>
      <c r="C706" s="7">
        <v>10</v>
      </c>
      <c r="D706" s="7" t="str">
        <f>VLOOKUP(C706,'5-Genre Codes'!$A$1:$B$11,2,FALSE)</f>
        <v>Contemporary Fiction</v>
      </c>
      <c r="E706" s="8">
        <v>2010</v>
      </c>
      <c r="F706" s="6">
        <v>11095</v>
      </c>
      <c r="G706" s="6" t="str">
        <f>VLOOKUP(F706,'4-Actor Codes'!$A$1:$B$622,2,FALSE)</f>
        <v>Bruce Willis</v>
      </c>
      <c r="H706" s="8" t="s">
        <v>10</v>
      </c>
      <c r="I706" s="9">
        <v>90380162</v>
      </c>
      <c r="J706" s="10">
        <v>106059531</v>
      </c>
      <c r="L706" s="10">
        <v>60000000</v>
      </c>
      <c r="M706" s="13"/>
      <c r="N706" s="13"/>
      <c r="O706" s="13"/>
      <c r="P706" s="13"/>
    </row>
    <row r="707" spans="1:16" x14ac:dyDescent="0.35">
      <c r="A707" s="5">
        <v>706</v>
      </c>
      <c r="B707" s="6" t="s">
        <v>712</v>
      </c>
      <c r="C707" s="7">
        <v>60</v>
      </c>
      <c r="D707" s="7" t="str">
        <f>VLOOKUP(C707,'5-Genre Codes'!$A$1:$B$11,2,FALSE)</f>
        <v>Kids Fiction</v>
      </c>
      <c r="E707" s="8">
        <v>2013</v>
      </c>
      <c r="F707" s="6">
        <v>18145</v>
      </c>
      <c r="G707" s="6" t="str">
        <f>VLOOKUP(F707,'4-Actor Codes'!$A$1:$B$622,2,FALSE)</f>
        <v>Stacy Keach</v>
      </c>
      <c r="H707" s="8" t="s">
        <v>10</v>
      </c>
      <c r="I707" s="9">
        <v>90282580</v>
      </c>
      <c r="J707" s="10">
        <v>129500000</v>
      </c>
      <c r="L707" s="10">
        <v>50000000</v>
      </c>
      <c r="M707" s="13"/>
      <c r="N707" s="13"/>
      <c r="O707" s="13"/>
      <c r="P707" s="13"/>
    </row>
    <row r="708" spans="1:16" ht="46.5" x14ac:dyDescent="0.35">
      <c r="A708" s="5">
        <v>707</v>
      </c>
      <c r="B708" s="6" t="s">
        <v>713</v>
      </c>
      <c r="C708" s="7">
        <v>10</v>
      </c>
      <c r="D708" s="7" t="str">
        <f>VLOOKUP(C708,'5-Genre Codes'!$A$1:$B$11,2,FALSE)</f>
        <v>Contemporary Fiction</v>
      </c>
      <c r="E708" s="8">
        <v>2003</v>
      </c>
      <c r="F708" s="6">
        <v>17110</v>
      </c>
      <c r="G708" s="6" t="str">
        <f>VLOOKUP(F708,'4-Actor Codes'!$A$1:$B$622,2,FALSE)</f>
        <v>Reese Witherspoon</v>
      </c>
      <c r="H708" s="8" t="s">
        <v>13</v>
      </c>
      <c r="I708" s="9">
        <v>90168825</v>
      </c>
      <c r="J708" s="10">
        <v>45315809</v>
      </c>
      <c r="L708" s="10">
        <v>18000000</v>
      </c>
      <c r="M708" s="13"/>
      <c r="N708" s="13"/>
      <c r="O708" s="13"/>
      <c r="P708" s="13"/>
    </row>
    <row r="709" spans="1:16" ht="31" x14ac:dyDescent="0.35">
      <c r="A709" s="5">
        <v>708</v>
      </c>
      <c r="B709" s="6" t="s">
        <v>714</v>
      </c>
      <c r="C709" s="7">
        <v>10</v>
      </c>
      <c r="D709" s="7" t="str">
        <f>VLOOKUP(C709,'5-Genre Codes'!$A$1:$B$11,2,FALSE)</f>
        <v>Contemporary Fiction</v>
      </c>
      <c r="E709" s="8">
        <v>2003</v>
      </c>
      <c r="F709" s="6">
        <v>17890</v>
      </c>
      <c r="G709" s="6" t="str">
        <f>VLOOKUP(F709,'4-Actor Codes'!$A$1:$B$622,2,FALSE)</f>
        <v>Sean Penn</v>
      </c>
      <c r="H709" s="8" t="s">
        <v>10</v>
      </c>
      <c r="I709" s="9">
        <v>90135191</v>
      </c>
      <c r="J709" s="10">
        <v>66686829</v>
      </c>
      <c r="L709" s="10">
        <v>30000000</v>
      </c>
      <c r="M709" s="13"/>
      <c r="N709" s="13"/>
      <c r="O709" s="13"/>
      <c r="P709" s="13"/>
    </row>
    <row r="710" spans="1:16" ht="46.5" x14ac:dyDescent="0.35">
      <c r="A710" s="5">
        <v>709</v>
      </c>
      <c r="B710" s="6" t="s">
        <v>715</v>
      </c>
      <c r="C710" s="7">
        <v>80</v>
      </c>
      <c r="D710" s="7" t="str">
        <f>VLOOKUP(C710,'5-Genre Codes'!$A$1:$B$11,2,FALSE)</f>
        <v>Science Fiction</v>
      </c>
      <c r="E710" s="8">
        <v>2015</v>
      </c>
      <c r="F710" s="6">
        <v>10525</v>
      </c>
      <c r="G710" s="6" t="str">
        <f>VLOOKUP(F710,'4-Actor Codes'!$A$1:$B$622,2,FALSE)</f>
        <v>Arnold Schwarzenegger</v>
      </c>
      <c r="H710" s="8" t="s">
        <v>13</v>
      </c>
      <c r="I710" s="9">
        <v>89760956</v>
      </c>
      <c r="J710" s="10">
        <v>350400000</v>
      </c>
      <c r="L710" s="10">
        <v>155000000</v>
      </c>
      <c r="M710" s="13"/>
      <c r="N710" s="13"/>
      <c r="O710" s="13"/>
      <c r="P710" s="13"/>
    </row>
    <row r="711" spans="1:16" ht="31" x14ac:dyDescent="0.35">
      <c r="A711" s="5">
        <v>710</v>
      </c>
      <c r="B711" s="6" t="s">
        <v>716</v>
      </c>
      <c r="C711" s="7">
        <v>10</v>
      </c>
      <c r="D711" s="7" t="str">
        <f>VLOOKUP(C711,'5-Genre Codes'!$A$1:$B$11,2,FALSE)</f>
        <v>Contemporary Fiction</v>
      </c>
      <c r="E711" s="8">
        <v>2005</v>
      </c>
      <c r="F711" s="6">
        <v>16045</v>
      </c>
      <c r="G711" s="6" t="str">
        <f>VLOOKUP(F711,'4-Actor Codes'!$A$1:$B$622,2,FALSE)</f>
        <v>Michael Irby</v>
      </c>
      <c r="H711" s="8" t="s">
        <v>10</v>
      </c>
      <c r="I711" s="9">
        <v>89706988</v>
      </c>
      <c r="J711" s="10">
        <v>124685916</v>
      </c>
      <c r="L711" s="10">
        <v>55000000</v>
      </c>
      <c r="M711" s="13"/>
      <c r="N711" s="13"/>
      <c r="O711" s="13"/>
      <c r="P711" s="13"/>
    </row>
    <row r="712" spans="1:16" ht="46.5" x14ac:dyDescent="0.35">
      <c r="A712" s="5">
        <v>711</v>
      </c>
      <c r="B712" s="6" t="s">
        <v>717</v>
      </c>
      <c r="C712" s="7">
        <v>10</v>
      </c>
      <c r="D712" s="7" t="str">
        <f>VLOOKUP(C712,'5-Genre Codes'!$A$1:$B$11,2,FALSE)</f>
        <v>Contemporary Fiction</v>
      </c>
      <c r="E712" s="8">
        <v>1991</v>
      </c>
      <c r="F712" s="6">
        <v>16900</v>
      </c>
      <c r="G712" s="6" t="str">
        <f>VLOOKUP(F712,'4-Actor Codes'!$A$1:$B$622,2,FALSE)</f>
        <v>Peter Michael Goetz</v>
      </c>
      <c r="H712" s="8" t="s">
        <v>10</v>
      </c>
      <c r="I712" s="9">
        <v>89325780</v>
      </c>
      <c r="J712" s="10">
        <v>163454307</v>
      </c>
      <c r="L712" s="10">
        <v>14000000</v>
      </c>
      <c r="M712" s="13"/>
      <c r="N712" s="13"/>
      <c r="O712" s="13"/>
      <c r="P712" s="13"/>
    </row>
    <row r="713" spans="1:16" ht="31" x14ac:dyDescent="0.35">
      <c r="A713" s="5">
        <v>712</v>
      </c>
      <c r="B713" s="6" t="s">
        <v>718</v>
      </c>
      <c r="C713" s="7">
        <v>60</v>
      </c>
      <c r="D713" s="7" t="str">
        <f>VLOOKUP(C713,'5-Genre Codes'!$A$1:$B$11,2,FALSE)</f>
        <v>Kids Fiction</v>
      </c>
      <c r="E713" s="8">
        <v>2000</v>
      </c>
      <c r="F713" s="6">
        <v>12415</v>
      </c>
      <c r="G713" s="6" t="str">
        <f>VLOOKUP(F713,'4-Actor Codes'!$A$1:$B$622,2,FALSE)</f>
        <v>Eli Russell Linnetz</v>
      </c>
      <c r="H713" s="8" t="s">
        <v>10</v>
      </c>
      <c r="I713" s="9">
        <v>89296573</v>
      </c>
      <c r="J713" s="10">
        <v>80000000</v>
      </c>
      <c r="L713" s="10">
        <v>100000000</v>
      </c>
      <c r="M713" s="13"/>
      <c r="N713" s="13"/>
      <c r="O713" s="13"/>
      <c r="P713" s="13"/>
    </row>
    <row r="714" spans="1:16" ht="31" x14ac:dyDescent="0.35">
      <c r="A714" s="5">
        <v>713</v>
      </c>
      <c r="B714" s="6" t="s">
        <v>719</v>
      </c>
      <c r="C714" s="7">
        <v>50</v>
      </c>
      <c r="D714" s="7" t="str">
        <f>VLOOKUP(C714,'5-Genre Codes'!$A$1:$B$11,2,FALSE)</f>
        <v>Historical Fiction</v>
      </c>
      <c r="E714" s="8">
        <v>2013</v>
      </c>
      <c r="F714" s="6">
        <v>14350</v>
      </c>
      <c r="G714" s="6" t="str">
        <f>VLOOKUP(F714,'4-Actor Codes'!$A$1:$B$622,2,FALSE)</f>
        <v>Johnny Depp</v>
      </c>
      <c r="H714" s="8" t="s">
        <v>10</v>
      </c>
      <c r="I714" s="9">
        <v>89289910</v>
      </c>
      <c r="J714" s="10">
        <v>170700000</v>
      </c>
      <c r="L714" s="10">
        <v>275000000</v>
      </c>
      <c r="M714" s="13"/>
      <c r="N714" s="13"/>
      <c r="O714" s="13"/>
      <c r="P714" s="13"/>
    </row>
    <row r="715" spans="1:16" ht="31" x14ac:dyDescent="0.35">
      <c r="A715" s="5">
        <v>714</v>
      </c>
      <c r="B715" s="6" t="s">
        <v>720</v>
      </c>
      <c r="C715" s="7">
        <v>10</v>
      </c>
      <c r="D715" s="7" t="str">
        <f>VLOOKUP(C715,'5-Genre Codes'!$A$1:$B$11,2,FALSE)</f>
        <v>Contemporary Fiction</v>
      </c>
      <c r="E715" s="8">
        <v>2015</v>
      </c>
      <c r="F715" s="6">
        <v>15265</v>
      </c>
      <c r="G715" s="6" t="str">
        <f>VLOOKUP(F715,'4-Actor Codes'!$A$1:$B$622,2,FALSE)</f>
        <v>Liam Neeson</v>
      </c>
      <c r="H715" s="8" t="s">
        <v>13</v>
      </c>
      <c r="I715" s="9">
        <v>89256424</v>
      </c>
      <c r="J715" s="10">
        <v>238400000</v>
      </c>
      <c r="L715" s="10">
        <v>48000000</v>
      </c>
      <c r="M715" s="13"/>
      <c r="N715" s="13"/>
      <c r="O715" s="13"/>
      <c r="P715" s="13"/>
    </row>
    <row r="716" spans="1:16" ht="31" x14ac:dyDescent="0.35">
      <c r="A716" s="5">
        <v>715</v>
      </c>
      <c r="B716" s="6" t="s">
        <v>721</v>
      </c>
      <c r="C716" s="7">
        <v>10</v>
      </c>
      <c r="D716" s="7" t="str">
        <f>VLOOKUP(C716,'5-Genre Codes'!$A$1:$B$11,2,FALSE)</f>
        <v>Contemporary Fiction</v>
      </c>
      <c r="E716" s="8">
        <v>2000</v>
      </c>
      <c r="F716" s="6">
        <v>11965</v>
      </c>
      <c r="G716" s="6" t="str">
        <f>VLOOKUP(F716,'4-Actor Codes'!$A$1:$B$622,2,FALSE)</f>
        <v>David Arquette</v>
      </c>
      <c r="H716" s="8" t="s">
        <v>13</v>
      </c>
      <c r="I716" s="9">
        <v>89138076</v>
      </c>
      <c r="J716" s="10">
        <v>72700000</v>
      </c>
      <c r="L716" s="10">
        <v>40000000</v>
      </c>
      <c r="M716" s="13"/>
      <c r="N716" s="13"/>
      <c r="O716" s="13"/>
      <c r="P716" s="13"/>
    </row>
    <row r="717" spans="1:16" x14ac:dyDescent="0.35">
      <c r="A717" s="5">
        <v>716</v>
      </c>
      <c r="B717" s="6" t="s">
        <v>722</v>
      </c>
      <c r="C717" s="7">
        <v>80</v>
      </c>
      <c r="D717" s="7" t="str">
        <f>VLOOKUP(C717,'5-Genre Codes'!$A$1:$B$11,2,FALSE)</f>
        <v>Science Fiction</v>
      </c>
      <c r="E717" s="8">
        <v>2012</v>
      </c>
      <c r="F717" s="6">
        <v>18745</v>
      </c>
      <c r="G717" s="6" t="str">
        <f>VLOOKUP(F717,'4-Actor Codes'!$A$1:$B$622,2,FALSE)</f>
        <v>Tom Cruise</v>
      </c>
      <c r="H717" s="8" t="s">
        <v>10</v>
      </c>
      <c r="I717" s="9">
        <v>89107235</v>
      </c>
      <c r="J717" s="10">
        <v>198809398</v>
      </c>
      <c r="L717" s="10">
        <v>120000000</v>
      </c>
      <c r="M717" s="13"/>
      <c r="N717" s="13"/>
      <c r="O717" s="13"/>
      <c r="P717" s="13"/>
    </row>
    <row r="718" spans="1:16" ht="31" x14ac:dyDescent="0.35">
      <c r="A718" s="5">
        <v>717</v>
      </c>
      <c r="B718" s="6" t="s">
        <v>723</v>
      </c>
      <c r="C718" s="7">
        <v>10</v>
      </c>
      <c r="D718" s="7" t="str">
        <f>VLOOKUP(C718,'5-Genre Codes'!$A$1:$B$11,2,FALSE)</f>
        <v>Contemporary Fiction</v>
      </c>
      <c r="E718" s="8">
        <v>1974</v>
      </c>
      <c r="F718" s="6">
        <v>10000</v>
      </c>
      <c r="G718" s="6" t="str">
        <f>VLOOKUP(F718,'4-Actor Codes'!$A$1:$B$622,2,FALSE)</f>
        <v>Unidentified</v>
      </c>
      <c r="H718" s="8" t="s">
        <v>10</v>
      </c>
      <c r="I718" s="9">
        <v>89000000</v>
      </c>
      <c r="J718" s="10">
        <v>60380619</v>
      </c>
      <c r="L718" s="10">
        <v>37000000</v>
      </c>
      <c r="M718" s="13"/>
      <c r="N718" s="13"/>
      <c r="O718" s="13"/>
      <c r="P718" s="13"/>
    </row>
    <row r="719" spans="1:16" ht="31" x14ac:dyDescent="0.35">
      <c r="A719" s="5">
        <v>718</v>
      </c>
      <c r="B719" s="6" t="s">
        <v>724</v>
      </c>
      <c r="C719" s="7">
        <v>10</v>
      </c>
      <c r="D719" s="7" t="str">
        <f>VLOOKUP(C719,'5-Genre Codes'!$A$1:$B$11,2,FALSE)</f>
        <v>Contemporary Fiction</v>
      </c>
      <c r="E719" s="8">
        <v>2009</v>
      </c>
      <c r="F719" s="6">
        <v>14710</v>
      </c>
      <c r="G719" s="6" t="str">
        <f>VLOOKUP(F719,'4-Actor Codes'!$A$1:$B$622,2,FALSE)</f>
        <v>Katherine Heigl</v>
      </c>
      <c r="H719" s="8" t="s">
        <v>10</v>
      </c>
      <c r="I719" s="9">
        <v>88915214</v>
      </c>
      <c r="J719" s="10">
        <v>116383693</v>
      </c>
      <c r="L719" s="10">
        <v>38000000</v>
      </c>
      <c r="M719" s="13"/>
      <c r="N719" s="13"/>
      <c r="O719" s="13"/>
      <c r="P719" s="13"/>
    </row>
    <row r="720" spans="1:16" ht="31" x14ac:dyDescent="0.35">
      <c r="A720" s="5">
        <v>719</v>
      </c>
      <c r="B720" s="6" t="s">
        <v>725</v>
      </c>
      <c r="C720" s="7">
        <v>10</v>
      </c>
      <c r="D720" s="7" t="str">
        <f>VLOOKUP(C720,'5-Genre Codes'!$A$1:$B$11,2,FALSE)</f>
        <v>Contemporary Fiction</v>
      </c>
      <c r="E720" s="8">
        <v>1990</v>
      </c>
      <c r="F720" s="6">
        <v>16570</v>
      </c>
      <c r="G720" s="6" t="str">
        <f>VLOOKUP(F720,'4-Actor Codes'!$A$1:$B$622,2,FALSE)</f>
        <v>Odette Yustman</v>
      </c>
      <c r="H720" s="8" t="s">
        <v>10</v>
      </c>
      <c r="I720" s="9">
        <v>88846113</v>
      </c>
      <c r="J720" s="10">
        <v>110542312</v>
      </c>
      <c r="L720" s="10">
        <v>26000000</v>
      </c>
      <c r="M720" s="13"/>
      <c r="N720" s="13"/>
      <c r="O720" s="13"/>
      <c r="P720" s="13"/>
    </row>
    <row r="721" spans="1:16" ht="31" x14ac:dyDescent="0.35">
      <c r="A721" s="5">
        <v>720</v>
      </c>
      <c r="B721" s="6" t="s">
        <v>726</v>
      </c>
      <c r="C721" s="7">
        <v>40</v>
      </c>
      <c r="D721" s="7" t="str">
        <f>VLOOKUP(C721,'5-Genre Codes'!$A$1:$B$11,2,FALSE)</f>
        <v>Fantasy</v>
      </c>
      <c r="E721" s="8">
        <v>2010</v>
      </c>
      <c r="F721" s="6">
        <v>16975</v>
      </c>
      <c r="G721" s="6" t="str">
        <f>VLOOKUP(F721,'4-Actor Codes'!$A$1:$B$622,2,FALSE)</f>
        <v>Pierce Brosnan</v>
      </c>
      <c r="H721" s="8" t="s">
        <v>10</v>
      </c>
      <c r="I721" s="9">
        <v>88768303</v>
      </c>
      <c r="J721" s="10">
        <v>134282571</v>
      </c>
      <c r="L721" s="10">
        <v>95000000</v>
      </c>
      <c r="M721" s="13"/>
      <c r="N721" s="13"/>
      <c r="O721" s="13"/>
      <c r="P721" s="13"/>
    </row>
    <row r="722" spans="1:16" ht="31" x14ac:dyDescent="0.35">
      <c r="A722" s="5">
        <v>721</v>
      </c>
      <c r="B722" s="6" t="s">
        <v>727</v>
      </c>
      <c r="C722" s="7">
        <v>10</v>
      </c>
      <c r="D722" s="7" t="str">
        <f>VLOOKUP(C722,'5-Genre Codes'!$A$1:$B$11,2,FALSE)</f>
        <v>Contemporary Fiction</v>
      </c>
      <c r="E722" s="8">
        <v>2006</v>
      </c>
      <c r="F722" s="6">
        <v>16720</v>
      </c>
      <c r="G722" s="6" t="str">
        <f>VLOOKUP(F722,'4-Actor Codes'!$A$1:$B$622,2,FALSE)</f>
        <v>Patton Oswalt</v>
      </c>
      <c r="H722" s="8" t="s">
        <v>10</v>
      </c>
      <c r="I722" s="9">
        <v>88715192</v>
      </c>
      <c r="J722" s="10">
        <v>102034442</v>
      </c>
      <c r="L722" s="10">
        <v>6000000</v>
      </c>
      <c r="M722" s="13"/>
      <c r="N722" s="13"/>
      <c r="O722" s="13"/>
      <c r="P722" s="13"/>
    </row>
    <row r="723" spans="1:16" x14ac:dyDescent="0.35">
      <c r="A723" s="5">
        <v>722</v>
      </c>
      <c r="B723" s="6" t="s">
        <v>728</v>
      </c>
      <c r="C723" s="7">
        <v>60</v>
      </c>
      <c r="D723" s="7" t="str">
        <f>VLOOKUP(C723,'5-Genre Codes'!$A$1:$B$11,2,FALSE)</f>
        <v>Kids Fiction</v>
      </c>
      <c r="E723" s="8">
        <v>2011</v>
      </c>
      <c r="F723" s="6">
        <v>13840</v>
      </c>
      <c r="G723" s="6" t="str">
        <f>VLOOKUP(F723,'4-Actor Codes'!$A$1:$B$622,2,FALSE)</f>
        <v>Jason Segel</v>
      </c>
      <c r="H723" s="8" t="s">
        <v>13</v>
      </c>
      <c r="I723" s="9">
        <v>88625922</v>
      </c>
      <c r="J723" s="10">
        <v>72346000</v>
      </c>
      <c r="L723" s="10">
        <v>45000000</v>
      </c>
      <c r="M723" s="13"/>
      <c r="N723" s="13"/>
      <c r="O723" s="13"/>
      <c r="P723" s="13"/>
    </row>
    <row r="724" spans="1:16" ht="31" x14ac:dyDescent="0.35">
      <c r="A724" s="5">
        <v>723</v>
      </c>
      <c r="B724" s="6" t="s">
        <v>729</v>
      </c>
      <c r="C724" s="7">
        <v>10</v>
      </c>
      <c r="D724" s="7" t="str">
        <f>VLOOKUP(C724,'5-Genre Codes'!$A$1:$B$11,2,FALSE)</f>
        <v>Contemporary Fiction</v>
      </c>
      <c r="E724" s="8">
        <v>1983</v>
      </c>
      <c r="F724" s="6">
        <v>11770</v>
      </c>
      <c r="G724" s="6" t="str">
        <f>VLOOKUP(F724,'4-Actor Codes'!$A$1:$B$622,2,FALSE)</f>
        <v>Dan Aykroyd</v>
      </c>
      <c r="H724" s="8" t="s">
        <v>10</v>
      </c>
      <c r="I724" s="9">
        <v>88621914</v>
      </c>
      <c r="J724" s="10">
        <v>654813349</v>
      </c>
      <c r="L724" s="10">
        <v>200000000</v>
      </c>
      <c r="M724" s="13"/>
      <c r="N724" s="13"/>
      <c r="O724" s="13"/>
      <c r="P724" s="13"/>
    </row>
    <row r="725" spans="1:16" ht="31" x14ac:dyDescent="0.35">
      <c r="A725" s="5">
        <v>724</v>
      </c>
      <c r="B725" s="6" t="s">
        <v>730</v>
      </c>
      <c r="C725" s="7">
        <v>10</v>
      </c>
      <c r="D725" s="7" t="str">
        <f>VLOOKUP(C725,'5-Genre Codes'!$A$1:$B$11,2,FALSE)</f>
        <v>Contemporary Fiction</v>
      </c>
      <c r="E725" s="8">
        <v>2006</v>
      </c>
      <c r="F725" s="6">
        <v>12115</v>
      </c>
      <c r="G725" s="6" t="str">
        <f>VLOOKUP(F725,'4-Actor Codes'!$A$1:$B$622,2,FALSE)</f>
        <v>Denzel Washington</v>
      </c>
      <c r="H725" s="8" t="s">
        <v>10</v>
      </c>
      <c r="I725" s="9">
        <v>88513495</v>
      </c>
      <c r="J725" s="10">
        <v>97164028</v>
      </c>
      <c r="L725" s="10">
        <v>50000000</v>
      </c>
      <c r="M725" s="13"/>
      <c r="N725" s="13"/>
      <c r="O725" s="13"/>
      <c r="P725" s="13"/>
    </row>
    <row r="726" spans="1:16" ht="31" x14ac:dyDescent="0.35">
      <c r="A726" s="5">
        <v>725</v>
      </c>
      <c r="B726" s="6" t="s">
        <v>731</v>
      </c>
      <c r="C726" s="7">
        <v>80</v>
      </c>
      <c r="D726" s="7" t="str">
        <f>VLOOKUP(C726,'5-Genre Codes'!$A$1:$B$11,2,FALSE)</f>
        <v>Science Fiction</v>
      </c>
      <c r="E726" s="8">
        <v>1995</v>
      </c>
      <c r="F726" s="6">
        <v>14875</v>
      </c>
      <c r="G726" s="6" t="str">
        <f>VLOOKUP(F726,'4-Actor Codes'!$A$1:$B$622,2,FALSE)</f>
        <v>Kevin Costner</v>
      </c>
      <c r="H726" s="8" t="s">
        <v>10</v>
      </c>
      <c r="I726" s="9">
        <v>88214660</v>
      </c>
      <c r="J726" s="10">
        <v>176000000</v>
      </c>
      <c r="L726" s="10">
        <v>175000000</v>
      </c>
      <c r="M726" s="13"/>
      <c r="N726" s="13"/>
      <c r="O726" s="13"/>
      <c r="P726" s="13"/>
    </row>
    <row r="727" spans="1:16" x14ac:dyDescent="0.35">
      <c r="A727" s="5">
        <v>726</v>
      </c>
      <c r="B727" s="6" t="s">
        <v>732</v>
      </c>
      <c r="C727" s="7">
        <v>50</v>
      </c>
      <c r="D727" s="7" t="str">
        <f>VLOOKUP(C727,'5-Genre Codes'!$A$1:$B$11,2,FALSE)</f>
        <v>Historical Fiction</v>
      </c>
      <c r="E727" s="8">
        <v>2004</v>
      </c>
      <c r="F727" s="6">
        <v>10660</v>
      </c>
      <c r="G727" s="6" t="str">
        <f>VLOOKUP(F727,'4-Actor Codes'!$A$1:$B$622,2,FALSE)</f>
        <v>Ben Stiller</v>
      </c>
      <c r="H727" s="8" t="s">
        <v>10</v>
      </c>
      <c r="I727" s="9">
        <v>88200225</v>
      </c>
      <c r="J727" s="10">
        <v>82000000</v>
      </c>
      <c r="L727" s="10">
        <v>60000000</v>
      </c>
      <c r="M727" s="13"/>
      <c r="N727" s="13"/>
      <c r="O727" s="13"/>
      <c r="P727" s="13"/>
    </row>
    <row r="728" spans="1:16" ht="31" x14ac:dyDescent="0.35">
      <c r="A728" s="5">
        <v>727</v>
      </c>
      <c r="B728" s="6" t="s">
        <v>733</v>
      </c>
      <c r="C728" s="7">
        <v>10</v>
      </c>
      <c r="D728" s="7" t="str">
        <f>VLOOKUP(C728,'5-Genre Codes'!$A$1:$B$11,2,FALSE)</f>
        <v>Contemporary Fiction</v>
      </c>
      <c r="E728" s="8">
        <v>2004</v>
      </c>
      <c r="F728" s="6">
        <v>14890</v>
      </c>
      <c r="G728" s="6" t="str">
        <f>VLOOKUP(F728,'4-Actor Codes'!$A$1:$B$622,2,FALSE)</f>
        <v>Kevin Hart</v>
      </c>
      <c r="H728" s="8" t="s">
        <v>10</v>
      </c>
      <c r="I728" s="9">
        <v>88073507</v>
      </c>
      <c r="J728" s="10">
        <v>84970903</v>
      </c>
      <c r="L728" s="10">
        <v>42000000</v>
      </c>
      <c r="M728" s="13"/>
      <c r="N728" s="13"/>
      <c r="O728" s="13"/>
      <c r="P728" s="13"/>
    </row>
    <row r="729" spans="1:16" ht="31" x14ac:dyDescent="0.35">
      <c r="A729" s="5">
        <v>728</v>
      </c>
      <c r="B729" s="6" t="s">
        <v>734</v>
      </c>
      <c r="C729" s="7">
        <v>10</v>
      </c>
      <c r="D729" s="7" t="str">
        <f>VLOOKUP(C729,'5-Genre Codes'!$A$1:$B$11,2,FALSE)</f>
        <v>Contemporary Fiction</v>
      </c>
      <c r="E729" s="8">
        <v>1992</v>
      </c>
      <c r="F729" s="6">
        <v>15730</v>
      </c>
      <c r="G729" s="6" t="str">
        <f>VLOOKUP(F729,'4-Actor Codes'!$A$1:$B$622,2,FALSE)</f>
        <v>Matt McCoy</v>
      </c>
      <c r="H729" s="8" t="s">
        <v>10</v>
      </c>
      <c r="I729" s="9">
        <v>88036683</v>
      </c>
      <c r="J729" s="10">
        <v>76921753</v>
      </c>
      <c r="L729" s="10">
        <v>10000000</v>
      </c>
      <c r="M729" s="13"/>
      <c r="N729" s="13"/>
      <c r="O729" s="13"/>
      <c r="P729" s="13"/>
    </row>
    <row r="730" spans="1:16" ht="31" x14ac:dyDescent="0.35">
      <c r="A730" s="5">
        <v>729</v>
      </c>
      <c r="B730" s="6" t="s">
        <v>735</v>
      </c>
      <c r="C730" s="7">
        <v>10</v>
      </c>
      <c r="D730" s="7" t="str">
        <f>VLOOKUP(C730,'5-Genre Codes'!$A$1:$B$11,2,FALSE)</f>
        <v>Contemporary Fiction</v>
      </c>
      <c r="E730" s="8">
        <v>1999</v>
      </c>
      <c r="F730" s="6">
        <v>17485</v>
      </c>
      <c r="G730" s="6" t="str">
        <f>VLOOKUP(F730,'4-Actor Codes'!$A$1:$B$622,2,FALSE)</f>
        <v>Rolf Saxon</v>
      </c>
      <c r="H730" s="8" t="s">
        <v>10</v>
      </c>
      <c r="I730" s="9">
        <v>87707396</v>
      </c>
      <c r="J730" s="10">
        <v>123992604</v>
      </c>
      <c r="L730" s="10">
        <v>66000000</v>
      </c>
      <c r="M730" s="13"/>
      <c r="N730" s="13"/>
      <c r="O730" s="13"/>
      <c r="P730" s="13"/>
    </row>
    <row r="731" spans="1:16" x14ac:dyDescent="0.35">
      <c r="A731" s="5">
        <v>730</v>
      </c>
      <c r="B731" s="6" t="s">
        <v>736</v>
      </c>
      <c r="C731" s="7">
        <v>80</v>
      </c>
      <c r="D731" s="7" t="str">
        <f>VLOOKUP(C731,'5-Genre Codes'!$A$1:$B$11,2,FALSE)</f>
        <v>Science Fiction</v>
      </c>
      <c r="E731" s="8">
        <v>1990</v>
      </c>
      <c r="F731" s="6">
        <v>15655</v>
      </c>
      <c r="G731" s="6" t="str">
        <f>VLOOKUP(F731,'4-Actor Codes'!$A$1:$B$622,2,FALSE)</f>
        <v>Matt Clark</v>
      </c>
      <c r="H731" s="8" t="s">
        <v>13</v>
      </c>
      <c r="I731" s="9">
        <v>87666629</v>
      </c>
      <c r="J731" s="10">
        <v>156033371</v>
      </c>
      <c r="L731" s="10">
        <v>40000000</v>
      </c>
      <c r="M731" s="13"/>
      <c r="N731" s="13"/>
      <c r="O731" s="13"/>
      <c r="P731" s="13"/>
    </row>
    <row r="732" spans="1:16" x14ac:dyDescent="0.35">
      <c r="A732" s="5">
        <v>731</v>
      </c>
      <c r="B732" s="6" t="s">
        <v>737</v>
      </c>
      <c r="C732" s="7">
        <v>40</v>
      </c>
      <c r="D732" s="7" t="str">
        <f>VLOOKUP(C732,'5-Genre Codes'!$A$1:$B$11,2,FALSE)</f>
        <v>Fantasy</v>
      </c>
      <c r="E732" s="8">
        <v>1953</v>
      </c>
      <c r="F732" s="6">
        <v>10000</v>
      </c>
      <c r="G732" s="6" t="str">
        <f>VLOOKUP(F732,'4-Actor Codes'!$A$1:$B$622,2,FALSE)</f>
        <v>Unidentified</v>
      </c>
      <c r="H732" s="8" t="s">
        <v>10</v>
      </c>
      <c r="I732" s="9">
        <v>87400000</v>
      </c>
      <c r="J732" s="10">
        <v>131380170</v>
      </c>
      <c r="L732" s="10">
        <v>63700000</v>
      </c>
      <c r="M732" s="13"/>
      <c r="N732" s="13"/>
      <c r="O732" s="13"/>
      <c r="P732" s="13"/>
    </row>
    <row r="733" spans="1:16" ht="31" x14ac:dyDescent="0.35">
      <c r="A733" s="5">
        <v>732</v>
      </c>
      <c r="B733" s="6" t="s">
        <v>738</v>
      </c>
      <c r="C733" s="7">
        <v>10</v>
      </c>
      <c r="D733" s="7" t="str">
        <f>VLOOKUP(C733,'5-Genre Codes'!$A$1:$B$11,2,FALSE)</f>
        <v>Contemporary Fiction</v>
      </c>
      <c r="E733" s="8">
        <v>2008</v>
      </c>
      <c r="F733" s="6">
        <v>13615</v>
      </c>
      <c r="G733" s="6" t="str">
        <f>VLOOKUP(F733,'4-Actor Codes'!$A$1:$B$622,2,FALSE)</f>
        <v>James Franco</v>
      </c>
      <c r="H733" s="8" t="s">
        <v>10</v>
      </c>
      <c r="I733" s="9">
        <v>87341380</v>
      </c>
      <c r="J733" s="10">
        <v>107000000</v>
      </c>
      <c r="L733" s="10">
        <v>55000000</v>
      </c>
      <c r="M733" s="13"/>
      <c r="N733" s="13"/>
      <c r="O733" s="13"/>
      <c r="P733" s="13"/>
    </row>
    <row r="734" spans="1:16" ht="31" x14ac:dyDescent="0.35">
      <c r="A734" s="5">
        <v>733</v>
      </c>
      <c r="B734" s="6" t="s">
        <v>739</v>
      </c>
      <c r="C734" s="7">
        <v>30</v>
      </c>
      <c r="D734" s="7" t="str">
        <f>VLOOKUP(C734,'5-Genre Codes'!$A$1:$B$11,2,FALSE)</f>
        <v>Factual</v>
      </c>
      <c r="E734" s="8">
        <v>1998</v>
      </c>
      <c r="F734" s="6">
        <v>15265</v>
      </c>
      <c r="G734" s="6" t="str">
        <f>VLOOKUP(F734,'4-Actor Codes'!$A$1:$B$622,2,FALSE)</f>
        <v>Liam Neeson</v>
      </c>
      <c r="H734" s="8" t="s">
        <v>10</v>
      </c>
      <c r="I734" s="9">
        <v>87178599</v>
      </c>
      <c r="J734" s="10">
        <v>150980157</v>
      </c>
      <c r="L734" s="10">
        <v>0</v>
      </c>
      <c r="M734" s="13"/>
      <c r="N734" s="13"/>
      <c r="O734" s="13"/>
      <c r="P734" s="13"/>
    </row>
    <row r="735" spans="1:16" ht="31" x14ac:dyDescent="0.35">
      <c r="A735" s="5">
        <v>734</v>
      </c>
      <c r="B735" s="6" t="s">
        <v>740</v>
      </c>
      <c r="C735" s="7">
        <v>10</v>
      </c>
      <c r="D735" s="7" t="str">
        <f>VLOOKUP(C735,'5-Genre Codes'!$A$1:$B$11,2,FALSE)</f>
        <v>Contemporary Fiction</v>
      </c>
      <c r="E735" s="8">
        <v>2005</v>
      </c>
      <c r="F735" s="6">
        <v>18025</v>
      </c>
      <c r="G735" s="6" t="str">
        <f>VLOOKUP(F735,'4-Actor Codes'!$A$1:$B$622,2,FALSE)</f>
        <v>Shawnee Smith</v>
      </c>
      <c r="H735" s="8" t="s">
        <v>13</v>
      </c>
      <c r="I735" s="9">
        <v>87025093</v>
      </c>
      <c r="J735" s="10">
        <v>65900000</v>
      </c>
      <c r="L735" s="10">
        <v>5000000</v>
      </c>
      <c r="M735" s="13"/>
      <c r="N735" s="13"/>
      <c r="O735" s="13"/>
      <c r="P735" s="13"/>
    </row>
    <row r="736" spans="1:16" ht="31" x14ac:dyDescent="0.35">
      <c r="A736" s="5">
        <v>735</v>
      </c>
      <c r="B736" s="6" t="s">
        <v>741</v>
      </c>
      <c r="C736" s="7">
        <v>10</v>
      </c>
      <c r="D736" s="7" t="str">
        <f>VLOOKUP(C736,'5-Genre Codes'!$A$1:$B$11,2,FALSE)</f>
        <v>Contemporary Fiction</v>
      </c>
      <c r="E736" s="8">
        <v>2011</v>
      </c>
      <c r="F736" s="6">
        <v>19135</v>
      </c>
      <c r="G736" s="6" t="str">
        <f>VLOOKUP(F736,'4-Actor Codes'!$A$1:$B$622,2,FALSE)</f>
        <v>Will Ferrell</v>
      </c>
      <c r="H736" s="8" t="s">
        <v>10</v>
      </c>
      <c r="I736" s="9">
        <v>86907746</v>
      </c>
      <c r="J736" s="10">
        <v>81344313</v>
      </c>
      <c r="L736" s="10">
        <v>45000000</v>
      </c>
      <c r="M736" s="13"/>
      <c r="N736" s="13"/>
      <c r="O736" s="13"/>
      <c r="P736" s="13"/>
    </row>
    <row r="737" spans="1:16" ht="31" x14ac:dyDescent="0.35">
      <c r="A737" s="5">
        <v>736</v>
      </c>
      <c r="B737" s="6" t="s">
        <v>742</v>
      </c>
      <c r="C737" s="7">
        <v>10</v>
      </c>
      <c r="D737" s="7" t="str">
        <f>VLOOKUP(C737,'5-Genre Codes'!$A$1:$B$11,2,FALSE)</f>
        <v>Contemporary Fiction</v>
      </c>
      <c r="E737" s="8">
        <v>1986</v>
      </c>
      <c r="F737" s="6">
        <v>10075</v>
      </c>
      <c r="G737" s="6" t="str">
        <f>VLOOKUP(F737,'4-Actor Codes'!$A$1:$B$622,2,FALSE)</f>
        <v>Adrienne Barbeau</v>
      </c>
      <c r="H737" s="8" t="s">
        <v>10</v>
      </c>
      <c r="I737" s="9">
        <v>86611121</v>
      </c>
      <c r="J737" s="10">
        <v>97818375</v>
      </c>
      <c r="L737" s="10">
        <v>20000000</v>
      </c>
      <c r="M737" s="13"/>
      <c r="N737" s="13"/>
      <c r="O737" s="13"/>
      <c r="P737" s="13"/>
    </row>
    <row r="738" spans="1:16" ht="31" x14ac:dyDescent="0.35">
      <c r="A738" s="5">
        <v>737</v>
      </c>
      <c r="B738" s="6" t="s">
        <v>743</v>
      </c>
      <c r="C738" s="7">
        <v>10</v>
      </c>
      <c r="D738" s="7" t="str">
        <f>VLOOKUP(C738,'5-Genre Codes'!$A$1:$B$11,2,FALSE)</f>
        <v>Contemporary Fiction</v>
      </c>
      <c r="E738" s="8">
        <v>1976</v>
      </c>
      <c r="F738" s="6">
        <v>12490</v>
      </c>
      <c r="G738" s="6" t="str">
        <f>VLOOKUP(F738,'4-Actor Codes'!$A$1:$B$622,2,FALSE)</f>
        <v>Ellen Bry</v>
      </c>
      <c r="H738" s="8" t="s">
        <v>10</v>
      </c>
      <c r="I738" s="9">
        <v>86600000</v>
      </c>
      <c r="J738" s="10">
        <v>1548943366</v>
      </c>
      <c r="L738" s="10">
        <v>200000000</v>
      </c>
      <c r="M738" s="13"/>
      <c r="N738" s="13"/>
      <c r="O738" s="13"/>
      <c r="P738" s="13"/>
    </row>
    <row r="739" spans="1:16" ht="31" x14ac:dyDescent="0.35">
      <c r="A739" s="5">
        <v>738</v>
      </c>
      <c r="B739" s="6" t="s">
        <v>744</v>
      </c>
      <c r="C739" s="7">
        <v>10</v>
      </c>
      <c r="D739" s="7" t="str">
        <f>VLOOKUP(C739,'5-Genre Codes'!$A$1:$B$11,2,FALSE)</f>
        <v>Contemporary Fiction</v>
      </c>
      <c r="E739" s="8">
        <v>1979</v>
      </c>
      <c r="F739" s="6">
        <v>13705</v>
      </c>
      <c r="G739" s="6" t="str">
        <f>VLOOKUP(F739,'4-Actor Codes'!$A$1:$B$622,2,FALSE)</f>
        <v>James Tolkan</v>
      </c>
      <c r="H739" s="8" t="s">
        <v>10</v>
      </c>
      <c r="I739" s="9">
        <v>86432520</v>
      </c>
      <c r="J739" s="10">
        <v>100019072</v>
      </c>
      <c r="L739" s="10">
        <v>110000000</v>
      </c>
      <c r="M739" s="13"/>
      <c r="N739" s="13"/>
      <c r="O739" s="13"/>
      <c r="P739" s="13"/>
    </row>
    <row r="740" spans="1:16" ht="31" x14ac:dyDescent="0.35">
      <c r="A740" s="5">
        <v>739</v>
      </c>
      <c r="B740" s="6" t="s">
        <v>745</v>
      </c>
      <c r="C740" s="7">
        <v>80</v>
      </c>
      <c r="D740" s="7" t="str">
        <f>VLOOKUP(C740,'5-Genre Codes'!$A$1:$B$11,2,FALSE)</f>
        <v>Science Fiction</v>
      </c>
      <c r="E740" s="8">
        <v>1974</v>
      </c>
      <c r="F740" s="6">
        <v>12910</v>
      </c>
      <c r="G740" s="6" t="str">
        <f>VLOOKUP(F740,'4-Actor Codes'!$A$1:$B$622,2,FALSE)</f>
        <v>Gene Hackman</v>
      </c>
      <c r="H740" s="8" t="s">
        <v>10</v>
      </c>
      <c r="I740" s="9">
        <v>86300000</v>
      </c>
      <c r="J740" s="10">
        <v>134978505</v>
      </c>
      <c r="L740" s="10">
        <v>65000000</v>
      </c>
      <c r="M740" s="13"/>
      <c r="N740" s="13"/>
      <c r="O740" s="13"/>
      <c r="P740" s="13"/>
    </row>
    <row r="741" spans="1:16" ht="31" x14ac:dyDescent="0.35">
      <c r="A741" s="5">
        <v>740</v>
      </c>
      <c r="B741" s="6" t="s">
        <v>746</v>
      </c>
      <c r="C741" s="7">
        <v>10</v>
      </c>
      <c r="D741" s="7" t="str">
        <f>VLOOKUP(C741,'5-Genre Codes'!$A$1:$B$11,2,FALSE)</f>
        <v>Contemporary Fiction</v>
      </c>
      <c r="E741" s="8">
        <v>2014</v>
      </c>
      <c r="F741" s="6">
        <v>14155</v>
      </c>
      <c r="G741" s="6" t="str">
        <f>VLOOKUP(F741,'4-Actor Codes'!$A$1:$B$622,2,FALSE)</f>
        <v>Jim Carrey</v>
      </c>
      <c r="H741" s="8" t="s">
        <v>13</v>
      </c>
      <c r="I741" s="9">
        <v>86208010</v>
      </c>
      <c r="J741" s="10">
        <v>55000000</v>
      </c>
      <c r="L741" s="10">
        <v>40000000</v>
      </c>
      <c r="M741" s="13"/>
      <c r="N741" s="13"/>
      <c r="O741" s="13"/>
      <c r="P741" s="13"/>
    </row>
    <row r="742" spans="1:16" ht="31" x14ac:dyDescent="0.35">
      <c r="A742" s="5">
        <v>741</v>
      </c>
      <c r="B742" s="6" t="s">
        <v>747</v>
      </c>
      <c r="C742" s="7">
        <v>10</v>
      </c>
      <c r="D742" s="7" t="str">
        <f>VLOOKUP(C742,'5-Genre Codes'!$A$1:$B$11,2,FALSE)</f>
        <v>Contemporary Fiction</v>
      </c>
      <c r="E742" s="8">
        <v>2004</v>
      </c>
      <c r="F742" s="6">
        <v>15325</v>
      </c>
      <c r="G742" s="6" t="str">
        <f>VLOOKUP(F742,'4-Actor Codes'!$A$1:$B$622,2,FALSE)</f>
        <v>Lindsay Lohan</v>
      </c>
      <c r="H742" s="8" t="s">
        <v>10</v>
      </c>
      <c r="I742" s="9">
        <v>86047227</v>
      </c>
      <c r="J742" s="10">
        <v>58700000</v>
      </c>
      <c r="L742" s="10">
        <v>51000000</v>
      </c>
      <c r="M742" s="13"/>
      <c r="N742" s="13"/>
      <c r="O742" s="13"/>
      <c r="P742" s="13"/>
    </row>
    <row r="743" spans="1:16" ht="31" x14ac:dyDescent="0.35">
      <c r="A743" s="5">
        <v>742</v>
      </c>
      <c r="B743" s="6" t="s">
        <v>748</v>
      </c>
      <c r="C743" s="7">
        <v>10</v>
      </c>
      <c r="D743" s="7" t="str">
        <f>VLOOKUP(C743,'5-Genre Codes'!$A$1:$B$11,2,FALSE)</f>
        <v>Contemporary Fiction</v>
      </c>
      <c r="E743" s="8">
        <v>2014</v>
      </c>
      <c r="F743" s="6">
        <v>16990</v>
      </c>
      <c r="G743" s="6" t="str">
        <f>VLOOKUP(F743,'4-Actor Codes'!$A$1:$B$622,2,FALSE)</f>
        <v>Quvenzhané Wallis</v>
      </c>
      <c r="H743" s="8" t="s">
        <v>10</v>
      </c>
      <c r="I743" s="9">
        <v>85911262</v>
      </c>
      <c r="J743" s="10">
        <v>53929263</v>
      </c>
      <c r="L743" s="10">
        <v>65000000</v>
      </c>
      <c r="M743" s="13"/>
      <c r="N743" s="13"/>
      <c r="O743" s="13"/>
      <c r="P743" s="13"/>
    </row>
    <row r="744" spans="1:16" ht="31" x14ac:dyDescent="0.35">
      <c r="A744" s="5">
        <v>743</v>
      </c>
      <c r="B744" s="6" t="s">
        <v>749</v>
      </c>
      <c r="C744" s="7">
        <v>60</v>
      </c>
      <c r="D744" s="7" t="str">
        <f>VLOOKUP(C744,'5-Genre Codes'!$A$1:$B$11,2,FALSE)</f>
        <v>Kids Fiction</v>
      </c>
      <c r="E744" s="8">
        <v>2002</v>
      </c>
      <c r="F744" s="6">
        <v>10495</v>
      </c>
      <c r="G744" s="6" t="str">
        <f>VLOOKUP(F744,'4-Actor Codes'!$A$1:$B$622,2,FALSE)</f>
        <v>Antonio Banderas</v>
      </c>
      <c r="H744" s="8" t="s">
        <v>13</v>
      </c>
      <c r="I744" s="9">
        <v>85846296</v>
      </c>
      <c r="J744" s="10">
        <v>85000000</v>
      </c>
      <c r="L744" s="10">
        <v>35000000</v>
      </c>
      <c r="M744" s="13"/>
      <c r="N744" s="13"/>
      <c r="O744" s="13"/>
      <c r="P744" s="13"/>
    </row>
    <row r="745" spans="1:16" x14ac:dyDescent="0.35">
      <c r="A745" s="5">
        <v>744</v>
      </c>
      <c r="B745" s="6" t="s">
        <v>750</v>
      </c>
      <c r="C745" s="7">
        <v>50</v>
      </c>
      <c r="D745" s="7" t="str">
        <f>VLOOKUP(C745,'5-Genre Codes'!$A$1:$B$11,2,FALSE)</f>
        <v>Historical Fiction</v>
      </c>
      <c r="E745" s="8">
        <v>2014</v>
      </c>
      <c r="F745" s="6">
        <v>10930</v>
      </c>
      <c r="G745" s="6" t="str">
        <f>VLOOKUP(F745,'4-Actor Codes'!$A$1:$B$622,2,FALSE)</f>
        <v>Brad Pitt</v>
      </c>
      <c r="H745" s="8" t="s">
        <v>10</v>
      </c>
      <c r="I745" s="9">
        <v>85755593</v>
      </c>
      <c r="J745" s="10">
        <v>126000000</v>
      </c>
      <c r="L745" s="10">
        <v>80000000</v>
      </c>
      <c r="M745" s="13"/>
      <c r="N745" s="13"/>
      <c r="O745" s="13"/>
      <c r="P745" s="13"/>
    </row>
    <row r="746" spans="1:16" ht="31" x14ac:dyDescent="0.35">
      <c r="A746" s="5">
        <v>745</v>
      </c>
      <c r="B746" s="6" t="s">
        <v>751</v>
      </c>
      <c r="C746" s="7">
        <v>10</v>
      </c>
      <c r="D746" s="7" t="str">
        <f>VLOOKUP(C746,'5-Genre Codes'!$A$1:$B$11,2,FALSE)</f>
        <v>Contemporary Fiction</v>
      </c>
      <c r="E746" s="8">
        <v>1991</v>
      </c>
      <c r="F746" s="6">
        <v>15220</v>
      </c>
      <c r="G746" s="6" t="str">
        <f>VLOOKUP(F746,'4-Actor Codes'!$A$1:$B$622,2,FALSE)</f>
        <v>Leslie Nielsen</v>
      </c>
      <c r="H746" s="8" t="s">
        <v>13</v>
      </c>
      <c r="I746" s="9">
        <v>85748264</v>
      </c>
      <c r="J746" s="10">
        <v>72346000</v>
      </c>
      <c r="L746" s="10">
        <v>45000000</v>
      </c>
      <c r="M746" s="13"/>
      <c r="N746" s="13"/>
      <c r="O746" s="13"/>
      <c r="P746" s="13"/>
    </row>
    <row r="747" spans="1:16" ht="31" x14ac:dyDescent="0.35">
      <c r="A747" s="5">
        <v>746</v>
      </c>
      <c r="B747" s="6" t="s">
        <v>752</v>
      </c>
      <c r="C747" s="7">
        <v>60</v>
      </c>
      <c r="D747" s="7" t="str">
        <f>VLOOKUP(C747,'5-Genre Codes'!$A$1:$B$11,2,FALSE)</f>
        <v>Kids Fiction</v>
      </c>
      <c r="E747" s="8">
        <v>1999</v>
      </c>
      <c r="F747" s="6">
        <v>19045</v>
      </c>
      <c r="G747" s="6" t="str">
        <f>VLOOKUP(F747,'4-Actor Codes'!$A$1:$B$622,2,FALSE)</f>
        <v>Veronica Taylor</v>
      </c>
      <c r="H747" s="8" t="s">
        <v>10</v>
      </c>
      <c r="I747" s="9">
        <v>85744662</v>
      </c>
      <c r="J747" s="10">
        <v>77900000</v>
      </c>
      <c r="L747" s="10">
        <v>30000000</v>
      </c>
      <c r="M747" s="13"/>
      <c r="N747" s="13"/>
      <c r="O747" s="13"/>
      <c r="P747" s="13"/>
    </row>
    <row r="748" spans="1:16" ht="31" x14ac:dyDescent="0.35">
      <c r="A748" s="5">
        <v>747</v>
      </c>
      <c r="B748" s="6" t="s">
        <v>753</v>
      </c>
      <c r="C748" s="7">
        <v>80</v>
      </c>
      <c r="D748" s="7" t="str">
        <f>VLOOKUP(C748,'5-Genre Codes'!$A$1:$B$11,2,FALSE)</f>
        <v>Science Fiction</v>
      </c>
      <c r="E748" s="8">
        <v>2010</v>
      </c>
      <c r="F748" s="6">
        <v>13270</v>
      </c>
      <c r="G748" s="6" t="str">
        <f>VLOOKUP(F748,'4-Actor Codes'!$A$1:$B$622,2,FALSE)</f>
        <v>Hugh Jackman</v>
      </c>
      <c r="H748" s="8" t="s">
        <v>10</v>
      </c>
      <c r="I748" s="9">
        <v>85463309</v>
      </c>
      <c r="J748" s="10">
        <v>178417032</v>
      </c>
      <c r="L748" s="10">
        <v>110000000</v>
      </c>
      <c r="M748" s="13"/>
      <c r="N748" s="13"/>
      <c r="O748" s="13"/>
      <c r="P748" s="13"/>
    </row>
    <row r="749" spans="1:16" x14ac:dyDescent="0.35">
      <c r="A749" s="5">
        <v>748</v>
      </c>
      <c r="B749" s="6" t="s">
        <v>754</v>
      </c>
      <c r="C749" s="7">
        <v>60</v>
      </c>
      <c r="D749" s="7" t="str">
        <f>VLOOKUP(C749,'5-Genre Codes'!$A$1:$B$11,2,FALSE)</f>
        <v>Kids Fiction</v>
      </c>
      <c r="E749" s="8">
        <v>2004</v>
      </c>
      <c r="F749" s="6">
        <v>18790</v>
      </c>
      <c r="G749" s="6" t="str">
        <f>VLOOKUP(F749,'4-Actor Codes'!$A$1:$B$622,2,FALSE)</f>
        <v>Tom Kenny</v>
      </c>
      <c r="H749" s="8" t="s">
        <v>10</v>
      </c>
      <c r="I749" s="9">
        <v>85416609</v>
      </c>
      <c r="J749" s="10">
        <v>56634646</v>
      </c>
      <c r="L749" s="10">
        <v>30000000</v>
      </c>
      <c r="M749" s="13"/>
      <c r="N749" s="13"/>
      <c r="O749" s="13"/>
      <c r="P749" s="13"/>
    </row>
    <row r="750" spans="1:16" x14ac:dyDescent="0.35">
      <c r="A750" s="5">
        <v>749</v>
      </c>
      <c r="B750" s="6" t="s">
        <v>755</v>
      </c>
      <c r="C750" s="7">
        <v>60</v>
      </c>
      <c r="D750" s="7" t="str">
        <f>VLOOKUP(C750,'5-Genre Codes'!$A$1:$B$11,2,FALSE)</f>
        <v>Kids Fiction</v>
      </c>
      <c r="E750" s="8">
        <v>2003</v>
      </c>
      <c r="F750" s="6">
        <v>10780</v>
      </c>
      <c r="G750" s="6" t="str">
        <f>VLOOKUP(F750,'4-Actor Codes'!$A$1:$B$622,2,FALSE)</f>
        <v>Bill Farmer</v>
      </c>
      <c r="H750" s="8" t="s">
        <v>10</v>
      </c>
      <c r="I750" s="9">
        <v>85336277</v>
      </c>
      <c r="J750" s="10">
        <v>165061521</v>
      </c>
      <c r="L750" s="10">
        <v>0</v>
      </c>
      <c r="M750" s="13"/>
      <c r="N750" s="13"/>
      <c r="O750" s="13"/>
      <c r="P750" s="13"/>
    </row>
    <row r="751" spans="1:16" ht="31" x14ac:dyDescent="0.35">
      <c r="A751" s="5">
        <v>750</v>
      </c>
      <c r="B751" s="6" t="s">
        <v>756</v>
      </c>
      <c r="C751" s="7">
        <v>10</v>
      </c>
      <c r="D751" s="7" t="str">
        <f>VLOOKUP(C751,'5-Genre Codes'!$A$1:$B$11,2,FALSE)</f>
        <v>Contemporary Fiction</v>
      </c>
      <c r="E751" s="8">
        <v>1979</v>
      </c>
      <c r="F751" s="6">
        <v>18385</v>
      </c>
      <c r="G751" s="6" t="str">
        <f>VLOOKUP(F751,'4-Actor Codes'!$A$1:$B$622,2,FALSE)</f>
        <v>Sylvester Stallone</v>
      </c>
      <c r="H751" s="8" t="s">
        <v>13</v>
      </c>
      <c r="I751" s="9">
        <v>85182160</v>
      </c>
      <c r="J751" s="10">
        <v>115000000</v>
      </c>
      <c r="L751" s="10">
        <v>0</v>
      </c>
      <c r="M751" s="13"/>
      <c r="N751" s="13"/>
      <c r="O751" s="13"/>
      <c r="P751" s="13"/>
    </row>
    <row r="752" spans="1:16" x14ac:dyDescent="0.35">
      <c r="A752" s="5">
        <v>751</v>
      </c>
      <c r="B752" s="6" t="s">
        <v>757</v>
      </c>
      <c r="C752" s="7">
        <v>80</v>
      </c>
      <c r="D752" s="7" t="str">
        <f>VLOOKUP(C752,'5-Genre Codes'!$A$1:$B$11,2,FALSE)</f>
        <v>Science Fiction</v>
      </c>
      <c r="E752" s="8">
        <v>1986</v>
      </c>
      <c r="F752" s="6">
        <v>10090</v>
      </c>
      <c r="G752" s="6" t="str">
        <f>VLOOKUP(F752,'4-Actor Codes'!$A$1:$B$622,2,FALSE)</f>
        <v>Al Matthews</v>
      </c>
      <c r="H752" s="8" t="s">
        <v>13</v>
      </c>
      <c r="I752" s="9">
        <v>85160248</v>
      </c>
      <c r="J752" s="10">
        <v>98156207</v>
      </c>
      <c r="L752" s="10">
        <v>17000000</v>
      </c>
      <c r="M752" s="13"/>
      <c r="N752" s="13"/>
      <c r="O752" s="13"/>
      <c r="P752" s="13"/>
    </row>
    <row r="753" spans="1:16" ht="31" x14ac:dyDescent="0.35">
      <c r="A753" s="5">
        <v>752</v>
      </c>
      <c r="B753" s="6" t="s">
        <v>758</v>
      </c>
      <c r="C753" s="7">
        <v>10</v>
      </c>
      <c r="D753" s="7" t="str">
        <f>VLOOKUP(C753,'5-Genre Codes'!$A$1:$B$11,2,FALSE)</f>
        <v>Contemporary Fiction</v>
      </c>
      <c r="E753" s="8">
        <v>2012</v>
      </c>
      <c r="F753" s="6">
        <v>18385</v>
      </c>
      <c r="G753" s="6" t="str">
        <f>VLOOKUP(F753,'4-Actor Codes'!$A$1:$B$622,2,FALSE)</f>
        <v>Sylvester Stallone</v>
      </c>
      <c r="H753" s="8" t="s">
        <v>13</v>
      </c>
      <c r="I753" s="9">
        <v>85028192</v>
      </c>
      <c r="J753" s="10">
        <v>226951064</v>
      </c>
      <c r="L753" s="10">
        <v>100000000</v>
      </c>
      <c r="M753" s="13"/>
      <c r="N753" s="13"/>
      <c r="O753" s="13"/>
      <c r="P753" s="13"/>
    </row>
    <row r="754" spans="1:16" x14ac:dyDescent="0.35">
      <c r="A754" s="5">
        <v>753</v>
      </c>
      <c r="B754" s="6" t="s">
        <v>168</v>
      </c>
      <c r="C754" s="7">
        <v>40</v>
      </c>
      <c r="D754" s="7" t="str">
        <f>VLOOKUP(C754,'5-Genre Codes'!$A$1:$B$11,2,FALSE)</f>
        <v>Fantasy</v>
      </c>
      <c r="E754" s="8">
        <v>1950</v>
      </c>
      <c r="F754" s="6">
        <v>10000</v>
      </c>
      <c r="G754" s="6" t="str">
        <f>VLOOKUP(F754,'4-Actor Codes'!$A$1:$B$622,2,FALSE)</f>
        <v>Unidentified</v>
      </c>
      <c r="H754" s="8" t="s">
        <v>10</v>
      </c>
      <c r="I754" s="9">
        <v>85000000</v>
      </c>
      <c r="J754" s="10">
        <v>178591415</v>
      </c>
      <c r="L754" s="10">
        <v>2900000</v>
      </c>
      <c r="M754" s="13"/>
      <c r="N754" s="13"/>
      <c r="O754" s="13"/>
      <c r="P754" s="13"/>
    </row>
    <row r="755" spans="1:16" ht="31" x14ac:dyDescent="0.35">
      <c r="A755" s="5">
        <v>754</v>
      </c>
      <c r="B755" s="6" t="s">
        <v>759</v>
      </c>
      <c r="C755" s="7">
        <v>10</v>
      </c>
      <c r="D755" s="7" t="str">
        <f>VLOOKUP(C755,'5-Genre Codes'!$A$1:$B$11,2,FALSE)</f>
        <v>Contemporary Fiction</v>
      </c>
      <c r="E755" s="8">
        <v>1995</v>
      </c>
      <c r="F755" s="6">
        <v>12940</v>
      </c>
      <c r="G755" s="6" t="str">
        <f>VLOOKUP(F755,'4-Actor Codes'!$A$1:$B$622,2,FALSE)</f>
        <v>George Dzundza</v>
      </c>
      <c r="H755" s="8" t="s">
        <v>10</v>
      </c>
      <c r="I755" s="9">
        <v>84778149</v>
      </c>
      <c r="J755" s="10">
        <v>94000000</v>
      </c>
      <c r="L755" s="10">
        <v>0</v>
      </c>
      <c r="M755" s="13"/>
      <c r="N755" s="13"/>
      <c r="O755" s="13"/>
      <c r="P755" s="13"/>
    </row>
    <row r="756" spans="1:16" ht="31" x14ac:dyDescent="0.35">
      <c r="A756" s="5">
        <v>755</v>
      </c>
      <c r="B756" s="6" t="s">
        <v>760</v>
      </c>
      <c r="C756" s="7">
        <v>40</v>
      </c>
      <c r="D756" s="7" t="str">
        <f>VLOOKUP(C756,'5-Genre Codes'!$A$1:$B$11,2,FALSE)</f>
        <v>Fantasy</v>
      </c>
      <c r="E756" s="8">
        <v>2010</v>
      </c>
      <c r="F756" s="6">
        <v>14725</v>
      </c>
      <c r="G756" s="6" t="str">
        <f>VLOOKUP(F756,'4-Actor Codes'!$A$1:$B$622,2,FALSE)</f>
        <v>Katie Featherston</v>
      </c>
      <c r="H756" s="8" t="s">
        <v>13</v>
      </c>
      <c r="I756" s="9">
        <v>84752907</v>
      </c>
      <c r="J756" s="10">
        <v>92759125</v>
      </c>
      <c r="L756" s="10">
        <v>3000000</v>
      </c>
      <c r="M756" s="13"/>
      <c r="N756" s="13"/>
      <c r="O756" s="13"/>
      <c r="P756" s="13"/>
    </row>
    <row r="757" spans="1:16" ht="31" x14ac:dyDescent="0.35">
      <c r="A757" s="5">
        <v>756</v>
      </c>
      <c r="B757" s="6" t="s">
        <v>761</v>
      </c>
      <c r="C757" s="7">
        <v>10</v>
      </c>
      <c r="D757" s="7" t="str">
        <f>VLOOKUP(C757,'5-Genre Codes'!$A$1:$B$11,2,FALSE)</f>
        <v>Contemporary Fiction</v>
      </c>
      <c r="E757" s="8">
        <v>2014</v>
      </c>
      <c r="F757" s="6">
        <v>15895</v>
      </c>
      <c r="G757" s="6" t="str">
        <f>VLOOKUP(F757,'4-Actor Codes'!$A$1:$B$622,2,FALSE)</f>
        <v>Melissa McCarthy</v>
      </c>
      <c r="H757" s="8" t="s">
        <v>10</v>
      </c>
      <c r="I757" s="9">
        <v>84525432</v>
      </c>
      <c r="J757" s="10">
        <v>14657148</v>
      </c>
      <c r="L757" s="10">
        <v>73000000</v>
      </c>
      <c r="M757" s="13"/>
      <c r="N757" s="13"/>
      <c r="O757" s="13"/>
      <c r="P757" s="13"/>
    </row>
    <row r="758" spans="1:16" x14ac:dyDescent="0.35">
      <c r="A758" s="5">
        <v>757</v>
      </c>
      <c r="B758" s="6" t="s">
        <v>762</v>
      </c>
      <c r="C758" s="7">
        <v>60</v>
      </c>
      <c r="D758" s="7" t="str">
        <f>VLOOKUP(C758,'5-Genre Codes'!$A$1:$B$11,2,FALSE)</f>
        <v>Kids Fiction</v>
      </c>
      <c r="E758" s="8">
        <v>2006</v>
      </c>
      <c r="F758" s="6">
        <v>18580</v>
      </c>
      <c r="G758" s="6" t="str">
        <f>VLOOKUP(F758,'4-Actor Codes'!$A$1:$B$622,2,FALSE)</f>
        <v>Tim Allen</v>
      </c>
      <c r="H758" s="8" t="s">
        <v>13</v>
      </c>
      <c r="I758" s="9">
        <v>84500122</v>
      </c>
      <c r="J758" s="10">
        <v>33600000</v>
      </c>
      <c r="L758" s="10">
        <v>65000000</v>
      </c>
      <c r="M758" s="13"/>
      <c r="N758" s="13"/>
      <c r="O758" s="13"/>
      <c r="P758" s="13"/>
    </row>
    <row r="759" spans="1:16" ht="31" x14ac:dyDescent="0.35">
      <c r="A759" s="5">
        <v>758</v>
      </c>
      <c r="B759" s="6" t="s">
        <v>763</v>
      </c>
      <c r="C759" s="7">
        <v>60</v>
      </c>
      <c r="D759" s="7" t="str">
        <f>VLOOKUP(C759,'5-Genre Codes'!$A$1:$B$11,2,FALSE)</f>
        <v>Kids Fiction</v>
      </c>
      <c r="E759" s="8">
        <v>2015</v>
      </c>
      <c r="F759" s="6">
        <v>16510</v>
      </c>
      <c r="G759" s="6" t="str">
        <f>VLOOKUP(F759,'4-Actor Codes'!$A$1:$B$622,2,FALSE)</f>
        <v>Noah Schnapp</v>
      </c>
      <c r="H759" s="8" t="s">
        <v>10</v>
      </c>
      <c r="I759" s="9">
        <v>84395073</v>
      </c>
      <c r="J759" s="10">
        <v>101969658</v>
      </c>
      <c r="L759" s="10">
        <v>110000000</v>
      </c>
      <c r="M759" s="13"/>
      <c r="N759" s="13"/>
      <c r="O759" s="13"/>
      <c r="P759" s="13"/>
    </row>
    <row r="760" spans="1:16" ht="31" x14ac:dyDescent="0.35">
      <c r="A760" s="5">
        <v>759</v>
      </c>
      <c r="B760" s="6" t="s">
        <v>764</v>
      </c>
      <c r="C760" s="7">
        <v>10</v>
      </c>
      <c r="D760" s="7" t="str">
        <f>VLOOKUP(C760,'5-Genre Codes'!$A$1:$B$11,2,FALSE)</f>
        <v>Contemporary Fiction</v>
      </c>
      <c r="E760" s="8">
        <v>2010</v>
      </c>
      <c r="F760" s="6">
        <v>18205</v>
      </c>
      <c r="G760" s="6" t="str">
        <f>VLOOKUP(F760,'4-Actor Codes'!$A$1:$B$622,2,FALSE)</f>
        <v>Steve Carell</v>
      </c>
      <c r="H760" s="8" t="s">
        <v>10</v>
      </c>
      <c r="I760" s="9">
        <v>84351197</v>
      </c>
      <c r="J760" s="10">
        <v>62791131</v>
      </c>
      <c r="L760" s="10">
        <v>50000000</v>
      </c>
      <c r="M760" s="13"/>
      <c r="N760" s="13"/>
      <c r="O760" s="13"/>
      <c r="P760" s="13"/>
    </row>
    <row r="761" spans="1:16" ht="31" x14ac:dyDescent="0.35">
      <c r="A761" s="5">
        <v>760</v>
      </c>
      <c r="B761" s="6" t="s">
        <v>765</v>
      </c>
      <c r="C761" s="7">
        <v>60</v>
      </c>
      <c r="D761" s="7" t="str">
        <f>VLOOKUP(C761,'5-Genre Codes'!$A$1:$B$11,2,FALSE)</f>
        <v>Kids Fiction</v>
      </c>
      <c r="E761" s="8">
        <v>2006</v>
      </c>
      <c r="F761" s="6">
        <v>15625</v>
      </c>
      <c r="G761" s="6" t="str">
        <f>VLOOKUP(F761,'4-Actor Codes'!$A$1:$B$622,2,FALSE)</f>
        <v>Martin Lawrence</v>
      </c>
      <c r="H761" s="8" t="s">
        <v>10</v>
      </c>
      <c r="I761" s="9">
        <v>84325668</v>
      </c>
      <c r="J761" s="10">
        <v>106826899</v>
      </c>
      <c r="L761" s="10">
        <v>85000000</v>
      </c>
      <c r="M761" s="13"/>
      <c r="N761" s="13"/>
      <c r="O761" s="13"/>
      <c r="P761" s="13"/>
    </row>
    <row r="762" spans="1:16" x14ac:dyDescent="0.35">
      <c r="A762" s="5">
        <v>761</v>
      </c>
      <c r="B762" s="6" t="s">
        <v>766</v>
      </c>
      <c r="C762" s="7">
        <v>60</v>
      </c>
      <c r="D762" s="7" t="str">
        <f>VLOOKUP(C762,'5-Genre Codes'!$A$1:$B$11,2,FALSE)</f>
        <v>Kids Fiction</v>
      </c>
      <c r="E762" s="8">
        <v>1940</v>
      </c>
      <c r="F762" s="6">
        <v>10000</v>
      </c>
      <c r="G762" s="6" t="str">
        <f>VLOOKUP(F762,'4-Actor Codes'!$A$1:$B$622,2,FALSE)</f>
        <v>Unidentified</v>
      </c>
      <c r="H762" s="8" t="s">
        <v>10</v>
      </c>
      <c r="I762" s="9">
        <v>84300000</v>
      </c>
      <c r="J762" s="10">
        <v>124000000</v>
      </c>
      <c r="L762" s="10">
        <v>26000000</v>
      </c>
      <c r="M762" s="13"/>
      <c r="N762" s="13"/>
      <c r="O762" s="13"/>
      <c r="P762" s="13"/>
    </row>
    <row r="763" spans="1:16" ht="31" x14ac:dyDescent="0.35">
      <c r="A763" s="5">
        <v>762</v>
      </c>
      <c r="B763" s="6" t="s">
        <v>767</v>
      </c>
      <c r="C763" s="7">
        <v>40</v>
      </c>
      <c r="D763" s="7" t="str">
        <f>VLOOKUP(C763,'5-Genre Codes'!$A$1:$B$11,2,FALSE)</f>
        <v>Fantasy</v>
      </c>
      <c r="E763" s="8">
        <v>2014</v>
      </c>
      <c r="F763" s="6">
        <v>10420</v>
      </c>
      <c r="G763" s="6" t="str">
        <f>VLOOKUP(F763,'4-Actor Codes'!$A$1:$B$622,2,FALSE)</f>
        <v>Annabelle Wallis</v>
      </c>
      <c r="H763" s="8" t="s">
        <v>10</v>
      </c>
      <c r="I763" s="9">
        <v>84273813</v>
      </c>
      <c r="J763" s="10">
        <v>166400000</v>
      </c>
      <c r="L763" s="10">
        <v>6500000</v>
      </c>
      <c r="M763" s="13"/>
      <c r="N763" s="13"/>
      <c r="O763" s="13"/>
      <c r="P763" s="13"/>
    </row>
    <row r="764" spans="1:16" ht="31" x14ac:dyDescent="0.35">
      <c r="A764" s="5">
        <v>763</v>
      </c>
      <c r="B764" s="6" t="s">
        <v>768</v>
      </c>
      <c r="C764" s="7">
        <v>60</v>
      </c>
      <c r="D764" s="7" t="str">
        <f>VLOOKUP(C764,'5-Genre Codes'!$A$1:$B$11,2,FALSE)</f>
        <v>Kids Fiction</v>
      </c>
      <c r="E764" s="8">
        <v>2004</v>
      </c>
      <c r="F764" s="6">
        <v>12820</v>
      </c>
      <c r="G764" s="6" t="str">
        <f>VLOOKUP(F764,'4-Actor Codes'!$A$1:$B$622,2,FALSE)</f>
        <v>Freddie Prinze, Jr.</v>
      </c>
      <c r="H764" s="8" t="s">
        <v>13</v>
      </c>
      <c r="I764" s="9">
        <v>84185387</v>
      </c>
      <c r="J764" s="10">
        <v>97000000</v>
      </c>
      <c r="L764" s="10">
        <v>25000000</v>
      </c>
      <c r="M764" s="13"/>
      <c r="N764" s="13"/>
      <c r="O764" s="13"/>
      <c r="P764" s="13"/>
    </row>
    <row r="765" spans="1:16" x14ac:dyDescent="0.35">
      <c r="A765" s="5">
        <v>764</v>
      </c>
      <c r="B765" s="6" t="s">
        <v>769</v>
      </c>
      <c r="C765" s="7">
        <v>50</v>
      </c>
      <c r="D765" s="7" t="str">
        <f>VLOOKUP(C765,'5-Genre Codes'!$A$1:$B$11,2,FALSE)</f>
        <v>Historical Fiction</v>
      </c>
      <c r="E765" s="8">
        <v>2004</v>
      </c>
      <c r="F765" s="6">
        <v>12385</v>
      </c>
      <c r="G765" s="6" t="str">
        <f>VLOOKUP(F765,'4-Actor Codes'!$A$1:$B$622,2,FALSE)</f>
        <v>Dylan Walsh</v>
      </c>
      <c r="H765" s="8" t="s">
        <v>10</v>
      </c>
      <c r="I765" s="9">
        <v>84136909</v>
      </c>
      <c r="J765" s="10">
        <v>44833047</v>
      </c>
      <c r="L765" s="10">
        <v>50000000</v>
      </c>
      <c r="M765" s="13"/>
      <c r="N765" s="13"/>
      <c r="O765" s="13"/>
      <c r="P765" s="13"/>
    </row>
    <row r="766" spans="1:16" ht="31" x14ac:dyDescent="0.35">
      <c r="A766" s="5">
        <v>765</v>
      </c>
      <c r="B766" s="6" t="s">
        <v>770</v>
      </c>
      <c r="C766" s="7">
        <v>60</v>
      </c>
      <c r="D766" s="7" t="str">
        <f>VLOOKUP(C766,'5-Genre Codes'!$A$1:$B$11,2,FALSE)</f>
        <v>Kids Fiction</v>
      </c>
      <c r="E766" s="8">
        <v>2001</v>
      </c>
      <c r="F766" s="6">
        <v>11665</v>
      </c>
      <c r="G766" s="6" t="str">
        <f>VLOOKUP(F766,'4-Actor Codes'!$A$1:$B$622,2,FALSE)</f>
        <v>Cree Summer</v>
      </c>
      <c r="H766" s="8" t="s">
        <v>10</v>
      </c>
      <c r="I766" s="9">
        <v>84052762</v>
      </c>
      <c r="J766" s="10">
        <v>101996258</v>
      </c>
      <c r="L766" s="10">
        <v>90000000</v>
      </c>
      <c r="M766" s="13"/>
      <c r="N766" s="13"/>
      <c r="O766" s="13"/>
      <c r="P766" s="13"/>
    </row>
    <row r="767" spans="1:16" ht="31" x14ac:dyDescent="0.35">
      <c r="A767" s="5">
        <v>766</v>
      </c>
      <c r="B767" s="6" t="s">
        <v>771</v>
      </c>
      <c r="C767" s="7">
        <v>10</v>
      </c>
      <c r="D767" s="7" t="str">
        <f>VLOOKUP(C767,'5-Genre Codes'!$A$1:$B$11,2,FALSE)</f>
        <v>Contemporary Fiction</v>
      </c>
      <c r="E767" s="8">
        <v>1993</v>
      </c>
      <c r="F767" s="6">
        <v>15820</v>
      </c>
      <c r="G767" s="6" t="str">
        <f>VLOOKUP(F767,'4-Actor Codes'!$A$1:$B$622,2,FALSE)</f>
        <v>Max Perlich</v>
      </c>
      <c r="H767" s="8" t="s">
        <v>10</v>
      </c>
      <c r="I767" s="9">
        <v>84049211</v>
      </c>
      <c r="J767" s="10">
        <v>170950789</v>
      </c>
      <c r="L767" s="10">
        <v>65000000</v>
      </c>
      <c r="M767" s="13"/>
      <c r="N767" s="13"/>
      <c r="O767" s="13"/>
      <c r="P767" s="13"/>
    </row>
    <row r="768" spans="1:16" ht="31" x14ac:dyDescent="0.35">
      <c r="A768" s="5">
        <v>767</v>
      </c>
      <c r="B768" s="6" t="s">
        <v>772</v>
      </c>
      <c r="C768" s="7">
        <v>10</v>
      </c>
      <c r="D768" s="7" t="str">
        <f>VLOOKUP(C768,'5-Genre Codes'!$A$1:$B$11,2,FALSE)</f>
        <v>Contemporary Fiction</v>
      </c>
      <c r="E768" s="8">
        <v>2014</v>
      </c>
      <c r="F768" s="6">
        <v>11140</v>
      </c>
      <c r="G768" s="6" t="str">
        <f>VLOOKUP(F768,'4-Actor Codes'!$A$1:$B$622,2,FALSE)</f>
        <v>Cameron Diaz</v>
      </c>
      <c r="H768" s="8" t="s">
        <v>10</v>
      </c>
      <c r="I768" s="9">
        <v>83911193</v>
      </c>
      <c r="J768" s="10">
        <v>111200000</v>
      </c>
      <c r="L768" s="10">
        <v>40000000</v>
      </c>
      <c r="M768" s="13"/>
      <c r="N768" s="13"/>
      <c r="O768" s="13"/>
      <c r="P768" s="13"/>
    </row>
    <row r="769" spans="1:16" ht="31" x14ac:dyDescent="0.35">
      <c r="A769" s="5">
        <v>768</v>
      </c>
      <c r="B769" s="6" t="s">
        <v>773</v>
      </c>
      <c r="C769" s="7">
        <v>80</v>
      </c>
      <c r="D769" s="7" t="str">
        <f>VLOOKUP(C769,'5-Genre Codes'!$A$1:$B$11,2,FALSE)</f>
        <v>Science Fiction</v>
      </c>
      <c r="E769" s="8">
        <v>1998</v>
      </c>
      <c r="F769" s="6">
        <v>11995</v>
      </c>
      <c r="G769" s="6" t="str">
        <f>VLOOKUP(F769,'4-Actor Codes'!$A$1:$B$622,2,FALSE)</f>
        <v>David Duchovny</v>
      </c>
      <c r="H769" s="8" t="s">
        <v>10</v>
      </c>
      <c r="I769" s="9">
        <v>83826398</v>
      </c>
      <c r="J769" s="10">
        <v>105278110</v>
      </c>
      <c r="L769" s="10">
        <v>66000000</v>
      </c>
      <c r="M769" s="13"/>
      <c r="N769" s="13"/>
      <c r="O769" s="13"/>
      <c r="P769" s="13"/>
    </row>
    <row r="770" spans="1:16" ht="31" x14ac:dyDescent="0.35">
      <c r="A770" s="5">
        <v>769</v>
      </c>
      <c r="B770" s="6" t="s">
        <v>774</v>
      </c>
      <c r="C770" s="7">
        <v>10</v>
      </c>
      <c r="D770" s="7" t="str">
        <f>VLOOKUP(C770,'5-Genre Codes'!$A$1:$B$11,2,FALSE)</f>
        <v>Contemporary Fiction</v>
      </c>
      <c r="E770" s="8">
        <v>2009</v>
      </c>
      <c r="F770" s="6">
        <v>10390</v>
      </c>
      <c r="G770" s="6" t="str">
        <f>VLOOKUP(F770,'4-Actor Codes'!$A$1:$B$622,2,FALSE)</f>
        <v>Anna Kendrick</v>
      </c>
      <c r="H770" s="8" t="s">
        <v>10</v>
      </c>
      <c r="I770" s="9">
        <v>83823381</v>
      </c>
      <c r="J770" s="10">
        <v>83019358</v>
      </c>
      <c r="L770" s="10">
        <v>30000000</v>
      </c>
      <c r="M770" s="13"/>
      <c r="N770" s="13"/>
      <c r="O770" s="13"/>
      <c r="P770" s="13"/>
    </row>
    <row r="771" spans="1:16" ht="31" x14ac:dyDescent="0.35">
      <c r="A771" s="5">
        <v>770</v>
      </c>
      <c r="B771" s="6" t="s">
        <v>775</v>
      </c>
      <c r="C771" s="7">
        <v>10</v>
      </c>
      <c r="D771" s="7" t="str">
        <f>VLOOKUP(C771,'5-Genre Codes'!$A$1:$B$11,2,FALSE)</f>
        <v>Contemporary Fiction</v>
      </c>
      <c r="E771" s="8">
        <v>1977</v>
      </c>
      <c r="F771" s="6">
        <v>17140</v>
      </c>
      <c r="G771" s="6" t="str">
        <f>VLOOKUP(F771,'4-Actor Codes'!$A$1:$B$622,2,FALSE)</f>
        <v>Richard Dreyfuss</v>
      </c>
      <c r="H771" s="8" t="s">
        <v>10</v>
      </c>
      <c r="I771" s="9">
        <v>83700000</v>
      </c>
      <c r="J771" s="10">
        <v>297154830</v>
      </c>
      <c r="L771" s="10">
        <v>205000000</v>
      </c>
      <c r="M771" s="13"/>
      <c r="N771" s="13"/>
      <c r="O771" s="13"/>
      <c r="P771" s="13"/>
    </row>
    <row r="772" spans="1:16" ht="46.5" x14ac:dyDescent="0.35">
      <c r="A772" s="5">
        <v>771</v>
      </c>
      <c r="B772" s="6" t="s">
        <v>776</v>
      </c>
      <c r="C772" s="7">
        <v>40</v>
      </c>
      <c r="D772" s="7" t="str">
        <f>VLOOKUP(C772,'5-Genre Codes'!$A$1:$B$11,2,FALSE)</f>
        <v>Fantasy</v>
      </c>
      <c r="E772" s="8">
        <v>2012</v>
      </c>
      <c r="F772" s="6">
        <v>17725</v>
      </c>
      <c r="G772" s="6" t="str">
        <f>VLOOKUP(F772,'4-Actor Codes'!$A$1:$B$622,2,FALSE)</f>
        <v>Sam Worthington</v>
      </c>
      <c r="H772" s="8" t="s">
        <v>13</v>
      </c>
      <c r="I772" s="9">
        <v>83670083</v>
      </c>
      <c r="J772" s="10">
        <v>221600000</v>
      </c>
      <c r="L772" s="10">
        <v>150000000</v>
      </c>
      <c r="M772" s="13"/>
      <c r="N772" s="13"/>
      <c r="O772" s="13"/>
      <c r="P772" s="13"/>
    </row>
    <row r="773" spans="1:16" ht="31" x14ac:dyDescent="0.35">
      <c r="A773" s="5">
        <v>772</v>
      </c>
      <c r="B773" s="6" t="s">
        <v>777</v>
      </c>
      <c r="C773" s="7">
        <v>40</v>
      </c>
      <c r="D773" s="7" t="str">
        <f>VLOOKUP(C773,'5-Genre Codes'!$A$1:$B$11,2,FALSE)</f>
        <v>Fantasy</v>
      </c>
      <c r="E773" s="8">
        <v>2013</v>
      </c>
      <c r="F773" s="6">
        <v>16675</v>
      </c>
      <c r="G773" s="6" t="str">
        <f>VLOOKUP(F773,'4-Actor Codes'!$A$1:$B$622,2,FALSE)</f>
        <v>Patrick Wilson</v>
      </c>
      <c r="H773" s="8" t="s">
        <v>13</v>
      </c>
      <c r="I773" s="9">
        <v>83586447</v>
      </c>
      <c r="J773" s="10">
        <v>78335068</v>
      </c>
      <c r="L773" s="10">
        <v>5000000</v>
      </c>
      <c r="M773" s="13"/>
      <c r="N773" s="13"/>
      <c r="O773" s="13"/>
      <c r="P773" s="13"/>
    </row>
    <row r="774" spans="1:16" ht="31" x14ac:dyDescent="0.35">
      <c r="A774" s="5">
        <v>773</v>
      </c>
      <c r="B774" s="6" t="s">
        <v>778</v>
      </c>
      <c r="C774" s="7">
        <v>80</v>
      </c>
      <c r="D774" s="7" t="str">
        <f>VLOOKUP(C774,'5-Genre Codes'!$A$1:$B$11,2,FALSE)</f>
        <v>Science Fiction</v>
      </c>
      <c r="E774" s="8">
        <v>2010</v>
      </c>
      <c r="F774" s="6">
        <v>16135</v>
      </c>
      <c r="G774" s="6" t="str">
        <f>VLOOKUP(F774,'4-Actor Codes'!$A$1:$B$622,2,FALSE)</f>
        <v>Michelle Rodriguez</v>
      </c>
      <c r="H774" s="8" t="s">
        <v>10</v>
      </c>
      <c r="I774" s="9">
        <v>83552429</v>
      </c>
      <c r="J774" s="10">
        <v>129911547</v>
      </c>
      <c r="L774" s="10">
        <v>70000000</v>
      </c>
      <c r="M774" s="13"/>
      <c r="N774" s="13"/>
      <c r="O774" s="13"/>
      <c r="P774" s="13"/>
    </row>
    <row r="775" spans="1:16" x14ac:dyDescent="0.35">
      <c r="A775" s="5">
        <v>774</v>
      </c>
      <c r="B775" s="6" t="s">
        <v>779</v>
      </c>
      <c r="C775" s="7">
        <v>40</v>
      </c>
      <c r="D775" s="7" t="str">
        <f>VLOOKUP(C775,'5-Genre Codes'!$A$1:$B$11,2,FALSE)</f>
        <v>Fantasy</v>
      </c>
      <c r="E775" s="8">
        <v>2011</v>
      </c>
      <c r="F775" s="6">
        <v>13210</v>
      </c>
      <c r="G775" s="6" t="str">
        <f>VLOOKUP(F775,'4-Actor Codes'!$A$1:$B$622,2,FALSE)</f>
        <v>Henry Cavill</v>
      </c>
      <c r="H775" s="8" t="s">
        <v>10</v>
      </c>
      <c r="I775" s="9">
        <v>83504017</v>
      </c>
      <c r="J775" s="10">
        <v>128058418</v>
      </c>
      <c r="L775" s="10">
        <v>75000000</v>
      </c>
      <c r="M775" s="13"/>
      <c r="N775" s="13"/>
      <c r="O775" s="13"/>
      <c r="P775" s="13"/>
    </row>
    <row r="776" spans="1:16" ht="46.5" x14ac:dyDescent="0.35">
      <c r="A776" s="5">
        <v>775</v>
      </c>
      <c r="B776" s="6" t="s">
        <v>780</v>
      </c>
      <c r="C776" s="7">
        <v>10</v>
      </c>
      <c r="D776" s="7" t="str">
        <f>VLOOKUP(C776,'5-Genre Codes'!$A$1:$B$11,2,FALSE)</f>
        <v>Contemporary Fiction</v>
      </c>
      <c r="E776" s="8">
        <v>1980</v>
      </c>
      <c r="F776" s="6">
        <v>14635</v>
      </c>
      <c r="G776" s="6" t="str">
        <f>VLOOKUP(F776,'4-Actor Codes'!$A$1:$B$622,2,FALSE)</f>
        <v>Kareem Abdul-Jabbar</v>
      </c>
      <c r="H776" s="8" t="s">
        <v>10</v>
      </c>
      <c r="I776" s="9">
        <v>83453539</v>
      </c>
      <c r="J776" s="10">
        <v>142311944</v>
      </c>
      <c r="L776" s="10">
        <v>85000000</v>
      </c>
      <c r="M776" s="13"/>
      <c r="N776" s="13"/>
      <c r="O776" s="13"/>
      <c r="P776" s="13"/>
    </row>
    <row r="777" spans="1:16" ht="46.5" x14ac:dyDescent="0.35">
      <c r="A777" s="5">
        <v>776</v>
      </c>
      <c r="B777" s="6" t="s">
        <v>781</v>
      </c>
      <c r="C777" s="7">
        <v>60</v>
      </c>
      <c r="D777" s="7" t="str">
        <f>VLOOKUP(C777,'5-Genre Codes'!$A$1:$B$11,2,FALSE)</f>
        <v>Kids Fiction</v>
      </c>
      <c r="E777" s="8">
        <v>2014</v>
      </c>
      <c r="F777" s="6">
        <v>10675</v>
      </c>
      <c r="G777" s="6" t="str">
        <f>VLOOKUP(F777,'4-Actor Codes'!$A$1:$B$622,2,FALSE)</f>
        <v>Benedict Cumberbatch</v>
      </c>
      <c r="H777" s="8" t="s">
        <v>10</v>
      </c>
      <c r="I777" s="9">
        <v>83350911</v>
      </c>
      <c r="J777" s="10">
        <v>284300000</v>
      </c>
      <c r="L777" s="10">
        <v>132000000</v>
      </c>
      <c r="M777" s="13"/>
      <c r="N777" s="13"/>
      <c r="O777" s="13"/>
      <c r="P777" s="13"/>
    </row>
    <row r="778" spans="1:16" ht="31" x14ac:dyDescent="0.35">
      <c r="A778" s="5">
        <v>777</v>
      </c>
      <c r="B778" s="6" t="s">
        <v>782</v>
      </c>
      <c r="C778" s="7">
        <v>10</v>
      </c>
      <c r="D778" s="7" t="str">
        <f>VLOOKUP(C778,'5-Genre Codes'!$A$1:$B$11,2,FALSE)</f>
        <v>Contemporary Fiction</v>
      </c>
      <c r="E778" s="8">
        <v>1981</v>
      </c>
      <c r="F778" s="6">
        <v>10825</v>
      </c>
      <c r="G778" s="6" t="str">
        <f>VLOOKUP(F778,'4-Actor Codes'!$A$1:$B$622,2,FALSE)</f>
        <v>Bill Murray</v>
      </c>
      <c r="H778" s="8" t="s">
        <v>10</v>
      </c>
      <c r="I778" s="9">
        <v>83339362</v>
      </c>
      <c r="J778" s="10">
        <v>38963601</v>
      </c>
      <c r="L778" s="10">
        <v>28000000</v>
      </c>
      <c r="M778" s="13"/>
      <c r="N778" s="13"/>
      <c r="O778" s="13"/>
      <c r="P778" s="13"/>
    </row>
    <row r="779" spans="1:16" ht="31" x14ac:dyDescent="0.35">
      <c r="A779" s="5">
        <v>778</v>
      </c>
      <c r="B779" s="6" t="s">
        <v>783</v>
      </c>
      <c r="C779" s="7">
        <v>70</v>
      </c>
      <c r="D779" s="7" t="str">
        <f>VLOOKUP(C779,'5-Genre Codes'!$A$1:$B$11,2,FALSE)</f>
        <v>Multiple Creative Types</v>
      </c>
      <c r="E779" s="8">
        <v>1940</v>
      </c>
      <c r="F779" s="6">
        <v>10000</v>
      </c>
      <c r="G779" s="6" t="str">
        <f>VLOOKUP(F779,'4-Actor Codes'!$A$1:$B$622,2,FALSE)</f>
        <v>Unidentified</v>
      </c>
      <c r="H779" s="8" t="s">
        <v>10</v>
      </c>
      <c r="I779" s="9">
        <v>83320000</v>
      </c>
      <c r="J779" s="10">
        <v>102034442</v>
      </c>
      <c r="L779" s="10">
        <v>6000000</v>
      </c>
      <c r="M779" s="13"/>
      <c r="N779" s="13"/>
      <c r="O779" s="13"/>
      <c r="P779" s="13"/>
    </row>
    <row r="780" spans="1:16" x14ac:dyDescent="0.35">
      <c r="A780" s="5">
        <v>779</v>
      </c>
      <c r="B780" s="6" t="s">
        <v>784</v>
      </c>
      <c r="C780" s="7">
        <v>20</v>
      </c>
      <c r="D780" s="7" t="str">
        <f>VLOOKUP(C780,'5-Genre Codes'!$A$1:$B$11,2,FALSE)</f>
        <v>Dramatization</v>
      </c>
      <c r="E780" s="8">
        <v>2013</v>
      </c>
      <c r="F780" s="6">
        <v>18760</v>
      </c>
      <c r="G780" s="6" t="str">
        <f>VLOOKUP(F780,'4-Actor Codes'!$A$1:$B$622,2,FALSE)</f>
        <v>Tom Hanks</v>
      </c>
      <c r="H780" s="8" t="s">
        <v>10</v>
      </c>
      <c r="I780" s="9">
        <v>83299761</v>
      </c>
      <c r="J780" s="10">
        <v>142913876</v>
      </c>
      <c r="L780" s="10">
        <v>0</v>
      </c>
      <c r="M780" s="13"/>
      <c r="N780" s="13"/>
      <c r="O780" s="13"/>
      <c r="P780" s="13"/>
    </row>
    <row r="781" spans="1:16" ht="31" x14ac:dyDescent="0.35">
      <c r="A781" s="5">
        <v>780</v>
      </c>
      <c r="B781" s="6" t="s">
        <v>785</v>
      </c>
      <c r="C781" s="7">
        <v>10</v>
      </c>
      <c r="D781" s="7" t="str">
        <f>VLOOKUP(C781,'5-Genre Codes'!$A$1:$B$11,2,FALSE)</f>
        <v>Contemporary Fiction</v>
      </c>
      <c r="E781" s="8">
        <v>1992</v>
      </c>
      <c r="F781" s="6">
        <v>13120</v>
      </c>
      <c r="G781" s="6" t="str">
        <f>VLOOKUP(F781,'4-Actor Codes'!$A$1:$B$622,2,FALSE)</f>
        <v>Harrison Ford</v>
      </c>
      <c r="H781" s="8" t="s">
        <v>10</v>
      </c>
      <c r="I781" s="9">
        <v>83287363</v>
      </c>
      <c r="J781" s="10">
        <v>94812637</v>
      </c>
      <c r="L781" s="10">
        <v>45000000</v>
      </c>
      <c r="M781" s="13"/>
      <c r="N781" s="13"/>
      <c r="O781" s="13"/>
      <c r="P781" s="13"/>
    </row>
    <row r="782" spans="1:16" ht="31" x14ac:dyDescent="0.35">
      <c r="A782" s="5">
        <v>781</v>
      </c>
      <c r="B782" s="6" t="s">
        <v>786</v>
      </c>
      <c r="C782" s="7">
        <v>10</v>
      </c>
      <c r="D782" s="7" t="str">
        <f>VLOOKUP(C782,'5-Genre Codes'!$A$1:$B$11,2,FALSE)</f>
        <v>Contemporary Fiction</v>
      </c>
      <c r="E782" s="8">
        <v>1989</v>
      </c>
      <c r="F782" s="6">
        <v>15985</v>
      </c>
      <c r="G782" s="6" t="str">
        <f>VLOOKUP(F782,'4-Actor Codes'!$A$1:$B$622,2,FALSE)</f>
        <v>Michael Douglas</v>
      </c>
      <c r="H782" s="8" t="s">
        <v>10</v>
      </c>
      <c r="I782" s="9">
        <v>83216475</v>
      </c>
      <c r="J782" s="10">
        <v>72604130</v>
      </c>
      <c r="L782" s="10">
        <v>30000000</v>
      </c>
      <c r="M782" s="13"/>
      <c r="N782" s="13"/>
      <c r="O782" s="13"/>
      <c r="P782" s="13"/>
    </row>
    <row r="783" spans="1:16" x14ac:dyDescent="0.35">
      <c r="A783" s="5">
        <v>782</v>
      </c>
      <c r="B783" s="6" t="s">
        <v>787</v>
      </c>
      <c r="C783" s="7">
        <v>20</v>
      </c>
      <c r="D783" s="7" t="str">
        <f>VLOOKUP(C783,'5-Genre Codes'!$A$1:$B$11,2,FALSE)</f>
        <v>Dramatization</v>
      </c>
      <c r="E783" s="8">
        <v>2008</v>
      </c>
      <c r="F783" s="6">
        <v>18745</v>
      </c>
      <c r="G783" s="6" t="str">
        <f>VLOOKUP(F783,'4-Actor Codes'!$A$1:$B$622,2,FALSE)</f>
        <v>Tom Cruise</v>
      </c>
      <c r="H783" s="8" t="s">
        <v>10</v>
      </c>
      <c r="I783" s="9">
        <v>83077762</v>
      </c>
      <c r="J783" s="10">
        <v>120824345</v>
      </c>
      <c r="L783" s="10">
        <v>90000000</v>
      </c>
      <c r="M783" s="13"/>
      <c r="N783" s="13"/>
      <c r="O783" s="13"/>
      <c r="P783" s="13"/>
    </row>
    <row r="784" spans="1:16" x14ac:dyDescent="0.35">
      <c r="A784" s="5">
        <v>783</v>
      </c>
      <c r="B784" s="6" t="s">
        <v>788</v>
      </c>
      <c r="C784" s="7">
        <v>50</v>
      </c>
      <c r="D784" s="7" t="str">
        <f>VLOOKUP(C784,'5-Genre Codes'!$A$1:$B$11,2,FALSE)</f>
        <v>Historical Fiction</v>
      </c>
      <c r="E784" s="8">
        <v>2005</v>
      </c>
      <c r="F784" s="6">
        <v>14680</v>
      </c>
      <c r="G784" s="6" t="str">
        <f>VLOOKUP(F784,'4-Actor Codes'!$A$1:$B$622,2,FALSE)</f>
        <v>Kate Mara</v>
      </c>
      <c r="H784" s="8" t="s">
        <v>10</v>
      </c>
      <c r="I784" s="9">
        <v>83043761</v>
      </c>
      <c r="J784" s="10">
        <v>93968412</v>
      </c>
      <c r="L784" s="10">
        <v>13900000</v>
      </c>
      <c r="M784" s="13"/>
      <c r="N784" s="13"/>
      <c r="O784" s="13"/>
      <c r="P784" s="13"/>
    </row>
    <row r="785" spans="1:16" ht="31" x14ac:dyDescent="0.35">
      <c r="A785" s="5">
        <v>784</v>
      </c>
      <c r="B785" s="6" t="s">
        <v>789</v>
      </c>
      <c r="C785" s="7">
        <v>60</v>
      </c>
      <c r="D785" s="7" t="str">
        <f>VLOOKUP(C785,'5-Genre Codes'!$A$1:$B$11,2,FALSE)</f>
        <v>Kids Fiction</v>
      </c>
      <c r="E785" s="8">
        <v>2013</v>
      </c>
      <c r="F785" s="6">
        <v>17650</v>
      </c>
      <c r="G785" s="6" t="str">
        <f>VLOOKUP(F785,'4-Actor Codes'!$A$1:$B$622,2,FALSE)</f>
        <v>Ryan Reynolds</v>
      </c>
      <c r="H785" s="8" t="s">
        <v>10</v>
      </c>
      <c r="I785" s="9">
        <v>83028130</v>
      </c>
      <c r="J785" s="10">
        <v>203868448</v>
      </c>
      <c r="L785" s="10">
        <v>135000000</v>
      </c>
      <c r="M785" s="13"/>
      <c r="N785" s="13"/>
      <c r="O785" s="13"/>
      <c r="P785" s="13"/>
    </row>
    <row r="786" spans="1:16" ht="31" x14ac:dyDescent="0.35">
      <c r="A786" s="5">
        <v>785</v>
      </c>
      <c r="B786" s="6" t="s">
        <v>790</v>
      </c>
      <c r="C786" s="7">
        <v>10</v>
      </c>
      <c r="D786" s="7" t="str">
        <f>VLOOKUP(C786,'5-Genre Codes'!$A$1:$B$11,2,FALSE)</f>
        <v>Contemporary Fiction</v>
      </c>
      <c r="E786" s="8">
        <v>1994</v>
      </c>
      <c r="F786" s="6">
        <v>11185</v>
      </c>
      <c r="G786" s="6" t="str">
        <f>VLOOKUP(F786,'4-Actor Codes'!$A$1:$B$622,2,FALSE)</f>
        <v>Caroline Goodall</v>
      </c>
      <c r="H786" s="8" t="s">
        <v>10</v>
      </c>
      <c r="I786" s="9">
        <v>82976682</v>
      </c>
      <c r="J786" s="10">
        <v>129184911</v>
      </c>
      <c r="L786" s="10">
        <v>0</v>
      </c>
      <c r="M786" s="13"/>
      <c r="N786" s="13"/>
      <c r="O786" s="13"/>
      <c r="P786" s="13"/>
    </row>
    <row r="787" spans="1:16" ht="31" x14ac:dyDescent="0.35">
      <c r="A787" s="5">
        <v>786</v>
      </c>
      <c r="B787" s="6" t="s">
        <v>791</v>
      </c>
      <c r="C787" s="7">
        <v>10</v>
      </c>
      <c r="D787" s="7" t="str">
        <f>VLOOKUP(C787,'5-Genre Codes'!$A$1:$B$11,2,FALSE)</f>
        <v>Contemporary Fiction</v>
      </c>
      <c r="E787" s="8">
        <v>2005</v>
      </c>
      <c r="F787" s="6">
        <v>14005</v>
      </c>
      <c r="G787" s="6" t="str">
        <f>VLOOKUP(F787,'4-Actor Codes'!$A$1:$B$622,2,FALSE)</f>
        <v>Jennifer Lopez</v>
      </c>
      <c r="H787" s="8" t="s">
        <v>10</v>
      </c>
      <c r="I787" s="9">
        <v>82931301</v>
      </c>
      <c r="J787" s="10">
        <v>73000000</v>
      </c>
      <c r="L787" s="10">
        <v>45000000</v>
      </c>
      <c r="M787" s="13"/>
      <c r="N787" s="13"/>
      <c r="O787" s="13"/>
      <c r="P787" s="13"/>
    </row>
    <row r="788" spans="1:16" ht="31" x14ac:dyDescent="0.35">
      <c r="A788" s="5">
        <v>787</v>
      </c>
      <c r="B788" s="6" t="s">
        <v>792</v>
      </c>
      <c r="C788" s="7">
        <v>10</v>
      </c>
      <c r="D788" s="7" t="str">
        <f>VLOOKUP(C788,'5-Genre Codes'!$A$1:$B$11,2,FALSE)</f>
        <v>Contemporary Fiction</v>
      </c>
      <c r="E788" s="8">
        <v>2010</v>
      </c>
      <c r="F788" s="6">
        <v>12925</v>
      </c>
      <c r="G788" s="6" t="str">
        <f>VLOOKUP(F788,'4-Actor Codes'!$A$1:$B$622,2,FALSE)</f>
        <v>George Clooney</v>
      </c>
      <c r="H788" s="8" t="s">
        <v>10</v>
      </c>
      <c r="I788" s="9">
        <v>82624961</v>
      </c>
      <c r="J788" s="10">
        <v>92882839</v>
      </c>
      <c r="L788" s="10">
        <v>20000000</v>
      </c>
      <c r="M788" s="13"/>
      <c r="N788" s="13"/>
      <c r="O788" s="13"/>
      <c r="P788" s="13"/>
    </row>
    <row r="789" spans="1:16" ht="31" x14ac:dyDescent="0.35">
      <c r="A789" s="5">
        <v>788</v>
      </c>
      <c r="B789" s="6" t="s">
        <v>793</v>
      </c>
      <c r="C789" s="7">
        <v>40</v>
      </c>
      <c r="D789" s="7" t="str">
        <f>VLOOKUP(C789,'5-Genre Codes'!$A$1:$B$11,2,FALSE)</f>
        <v>Fantasy</v>
      </c>
      <c r="E789" s="8">
        <v>2006</v>
      </c>
      <c r="F789" s="6">
        <v>12265</v>
      </c>
      <c r="G789" s="6" t="str">
        <f>VLOOKUP(F789,'4-Actor Codes'!$A$1:$B$622,2,FALSE)</f>
        <v>Dominic Scott Kay</v>
      </c>
      <c r="H789" s="8" t="s">
        <v>10</v>
      </c>
      <c r="I789" s="9">
        <v>82599768</v>
      </c>
      <c r="J789" s="10">
        <v>61000000</v>
      </c>
      <c r="L789" s="10">
        <v>82500000</v>
      </c>
      <c r="M789" s="13"/>
      <c r="N789" s="13"/>
      <c r="O789" s="13"/>
      <c r="P789" s="13"/>
    </row>
    <row r="790" spans="1:16" ht="31" x14ac:dyDescent="0.35">
      <c r="A790" s="5">
        <v>789</v>
      </c>
      <c r="B790" s="6" t="s">
        <v>794</v>
      </c>
      <c r="C790" s="7">
        <v>10</v>
      </c>
      <c r="D790" s="7" t="str">
        <f>VLOOKUP(C790,'5-Genre Codes'!$A$1:$B$11,2,FALSE)</f>
        <v>Contemporary Fiction</v>
      </c>
      <c r="E790" s="8">
        <v>2005</v>
      </c>
      <c r="F790" s="6">
        <v>18475</v>
      </c>
      <c r="G790" s="6" t="str">
        <f>VLOOKUP(F790,'4-Actor Codes'!$A$1:$B$622,2,FALSE)</f>
        <v>Taylor Lautner</v>
      </c>
      <c r="H790" s="8" t="s">
        <v>13</v>
      </c>
      <c r="I790" s="9">
        <v>82571173</v>
      </c>
      <c r="J790" s="10">
        <v>52444157</v>
      </c>
      <c r="L790" s="10">
        <v>60000000</v>
      </c>
      <c r="M790" s="13"/>
      <c r="N790" s="13"/>
      <c r="O790" s="13"/>
      <c r="P790" s="13"/>
    </row>
    <row r="791" spans="1:16" ht="31" x14ac:dyDescent="0.35">
      <c r="A791" s="5">
        <v>790</v>
      </c>
      <c r="B791" s="6" t="s">
        <v>795</v>
      </c>
      <c r="C791" s="7">
        <v>10</v>
      </c>
      <c r="D791" s="7" t="str">
        <f>VLOOKUP(C791,'5-Genre Codes'!$A$1:$B$11,2,FALSE)</f>
        <v>Contemporary Fiction</v>
      </c>
      <c r="E791" s="8">
        <v>2003</v>
      </c>
      <c r="F791" s="6">
        <v>12595</v>
      </c>
      <c r="G791" s="6" t="str">
        <f>VLOOKUP(F791,'4-Actor Codes'!$A$1:$B$622,2,FALSE)</f>
        <v>Evangeline Lilly</v>
      </c>
      <c r="H791" s="8" t="s">
        <v>10</v>
      </c>
      <c r="I791" s="9">
        <v>82490748</v>
      </c>
      <c r="J791" s="10">
        <v>50600000</v>
      </c>
      <c r="L791" s="10">
        <v>26000000</v>
      </c>
      <c r="M791" s="13"/>
      <c r="N791" s="13"/>
      <c r="O791" s="13"/>
      <c r="P791" s="13"/>
    </row>
    <row r="792" spans="1:16" ht="31" x14ac:dyDescent="0.35">
      <c r="A792" s="5">
        <v>791</v>
      </c>
      <c r="B792" s="6" t="s">
        <v>796</v>
      </c>
      <c r="C792" s="7">
        <v>10</v>
      </c>
      <c r="D792" s="7" t="str">
        <f>VLOOKUP(C792,'5-Genre Codes'!$A$1:$B$11,2,FALSE)</f>
        <v>Contemporary Fiction</v>
      </c>
      <c r="E792" s="8">
        <v>1995</v>
      </c>
      <c r="F792" s="6">
        <v>19195</v>
      </c>
      <c r="G792" s="6" t="str">
        <f>VLOOKUP(F792,'4-Actor Codes'!$A$1:$B$622,2,FALSE)</f>
        <v>William H. Macy</v>
      </c>
      <c r="H792" s="8" t="s">
        <v>10</v>
      </c>
      <c r="I792" s="9">
        <v>82465254</v>
      </c>
      <c r="J792" s="10">
        <v>44976083</v>
      </c>
      <c r="L792" s="10">
        <v>50000000</v>
      </c>
      <c r="M792" s="13"/>
      <c r="N792" s="13"/>
      <c r="O792" s="13"/>
      <c r="P792" s="13"/>
    </row>
    <row r="793" spans="1:16" ht="31" x14ac:dyDescent="0.35">
      <c r="A793" s="5">
        <v>792</v>
      </c>
      <c r="B793" s="6" t="s">
        <v>797</v>
      </c>
      <c r="C793" s="7">
        <v>10</v>
      </c>
      <c r="D793" s="7" t="str">
        <f>VLOOKUP(C793,'5-Genre Codes'!$A$1:$B$11,2,FALSE)</f>
        <v>Contemporary Fiction</v>
      </c>
      <c r="E793" s="8">
        <v>2014</v>
      </c>
      <c r="F793" s="6">
        <v>11755</v>
      </c>
      <c r="G793" s="6" t="str">
        <f>VLOOKUP(F793,'4-Actor Codes'!$A$1:$B$622,2,FALSE)</f>
        <v>Damon Wayans Jr.</v>
      </c>
      <c r="H793" s="8" t="s">
        <v>10</v>
      </c>
      <c r="I793" s="9">
        <v>82390774</v>
      </c>
      <c r="J793" s="10">
        <v>54500000</v>
      </c>
      <c r="L793" s="10">
        <v>17000000</v>
      </c>
      <c r="M793" s="13"/>
      <c r="N793" s="13"/>
      <c r="O793" s="13"/>
      <c r="P793" s="13"/>
    </row>
    <row r="794" spans="1:16" ht="31" x14ac:dyDescent="0.35">
      <c r="A794" s="5">
        <v>793</v>
      </c>
      <c r="B794" s="6" t="s">
        <v>798</v>
      </c>
      <c r="C794" s="7">
        <v>10</v>
      </c>
      <c r="D794" s="7" t="str">
        <f>VLOOKUP(C794,'5-Genre Codes'!$A$1:$B$11,2,FALSE)</f>
        <v>Contemporary Fiction</v>
      </c>
      <c r="E794" s="8">
        <v>1992</v>
      </c>
      <c r="F794" s="6">
        <v>18295</v>
      </c>
      <c r="G794" s="6" t="str">
        <f>VLOOKUP(F794,'4-Actor Codes'!$A$1:$B$622,2,FALSE)</f>
        <v>Steven Seagal</v>
      </c>
      <c r="H794" s="8" t="s">
        <v>10</v>
      </c>
      <c r="I794" s="9">
        <v>82304365</v>
      </c>
      <c r="J794" s="10">
        <v>73000000</v>
      </c>
      <c r="L794" s="10">
        <v>0</v>
      </c>
      <c r="M794" s="13"/>
      <c r="N794" s="13"/>
      <c r="O794" s="13"/>
      <c r="P794" s="13"/>
    </row>
    <row r="795" spans="1:16" ht="31" x14ac:dyDescent="0.35">
      <c r="A795" s="5">
        <v>794</v>
      </c>
      <c r="B795" s="6" t="s">
        <v>799</v>
      </c>
      <c r="C795" s="7">
        <v>60</v>
      </c>
      <c r="D795" s="7" t="str">
        <f>VLOOKUP(C795,'5-Genre Codes'!$A$1:$B$11,2,FALSE)</f>
        <v>Kids Fiction</v>
      </c>
      <c r="E795" s="8">
        <v>2005</v>
      </c>
      <c r="F795" s="6">
        <v>18925</v>
      </c>
      <c r="G795" s="6" t="str">
        <f>VLOOKUP(F795,'4-Actor Codes'!$A$1:$B$622,2,FALSE)</f>
        <v>Tracy Morgan</v>
      </c>
      <c r="H795" s="8" t="s">
        <v>10</v>
      </c>
      <c r="I795" s="9">
        <v>82301521</v>
      </c>
      <c r="J795" s="10">
        <v>162029504</v>
      </c>
      <c r="L795" s="10">
        <v>65000000</v>
      </c>
      <c r="M795" s="13"/>
      <c r="N795" s="13"/>
      <c r="O795" s="13"/>
      <c r="P795" s="13"/>
    </row>
    <row r="796" spans="1:16" ht="31" x14ac:dyDescent="0.35">
      <c r="A796" s="5">
        <v>795</v>
      </c>
      <c r="B796" s="6" t="s">
        <v>800</v>
      </c>
      <c r="C796" s="7">
        <v>80</v>
      </c>
      <c r="D796" s="7" t="str">
        <f>VLOOKUP(C796,'5-Genre Codes'!$A$1:$B$11,2,FALSE)</f>
        <v>Science Fiction</v>
      </c>
      <c r="E796" s="8">
        <v>1979</v>
      </c>
      <c r="F796" s="6">
        <v>19225</v>
      </c>
      <c r="G796" s="6" t="str">
        <f>VLOOKUP(F796,'4-Actor Codes'!$A$1:$B$622,2,FALSE)</f>
        <v>William Shatner</v>
      </c>
      <c r="H796" s="8" t="s">
        <v>10</v>
      </c>
      <c r="I796" s="9">
        <v>82258456</v>
      </c>
      <c r="J796" s="10">
        <v>56741544</v>
      </c>
      <c r="L796" s="10">
        <v>35000000</v>
      </c>
      <c r="M796" s="13"/>
      <c r="N796" s="13"/>
      <c r="O796" s="13"/>
      <c r="P796" s="13"/>
    </row>
    <row r="797" spans="1:16" x14ac:dyDescent="0.35">
      <c r="A797" s="5">
        <v>796</v>
      </c>
      <c r="B797" s="6" t="s">
        <v>801</v>
      </c>
      <c r="C797" s="7">
        <v>40</v>
      </c>
      <c r="D797" s="7" t="str">
        <f>VLOOKUP(C797,'5-Genre Codes'!$A$1:$B$11,2,FALSE)</f>
        <v>Fantasy</v>
      </c>
      <c r="E797" s="8">
        <v>2007</v>
      </c>
      <c r="F797" s="6">
        <v>14665</v>
      </c>
      <c r="G797" s="6" t="str">
        <f>VLOOKUP(F797,'4-Actor Codes'!$A$1:$B$622,2,FALSE)</f>
        <v>Kate Butler</v>
      </c>
      <c r="H797" s="8" t="s">
        <v>10</v>
      </c>
      <c r="I797" s="9">
        <v>82234139</v>
      </c>
      <c r="J797" s="10">
        <v>55750649</v>
      </c>
      <c r="L797" s="10">
        <v>25000000</v>
      </c>
      <c r="M797" s="13"/>
      <c r="N797" s="13"/>
      <c r="O797" s="13"/>
      <c r="P797" s="13"/>
    </row>
    <row r="798" spans="1:16" ht="31" x14ac:dyDescent="0.35">
      <c r="A798" s="5">
        <v>797</v>
      </c>
      <c r="B798" s="6" t="s">
        <v>802</v>
      </c>
      <c r="C798" s="7">
        <v>50</v>
      </c>
      <c r="D798" s="7" t="str">
        <f>VLOOKUP(C798,'5-Genre Codes'!$A$1:$B$11,2,FALSE)</f>
        <v>Historical Fiction</v>
      </c>
      <c r="E798" s="8">
        <v>2006</v>
      </c>
      <c r="F798" s="6">
        <v>18265</v>
      </c>
      <c r="G798" s="6" t="str">
        <f>VLOOKUP(F798,'4-Actor Codes'!$A$1:$B$622,2,FALSE)</f>
        <v>Steve Martin</v>
      </c>
      <c r="H798" s="8" t="s">
        <v>13</v>
      </c>
      <c r="I798" s="9">
        <v>82226474</v>
      </c>
      <c r="J798" s="10">
        <v>76700000</v>
      </c>
      <c r="L798" s="10">
        <v>80000000</v>
      </c>
      <c r="M798" s="13"/>
      <c r="N798" s="13"/>
      <c r="O798" s="13"/>
      <c r="P798" s="13"/>
    </row>
    <row r="799" spans="1:16" x14ac:dyDescent="0.35">
      <c r="A799" s="5">
        <v>798</v>
      </c>
      <c r="B799" s="6" t="s">
        <v>803</v>
      </c>
      <c r="C799" s="7">
        <v>40</v>
      </c>
      <c r="D799" s="7" t="str">
        <f>VLOOKUP(C799,'5-Genre Codes'!$A$1:$B$11,2,FALSE)</f>
        <v>Fantasy</v>
      </c>
      <c r="E799" s="8">
        <v>2007</v>
      </c>
      <c r="F799" s="6">
        <v>13045</v>
      </c>
      <c r="G799" s="6" t="str">
        <f>VLOOKUP(F799,'4-Actor Codes'!$A$1:$B$622,2,FALSE)</f>
        <v>Greg Ellis</v>
      </c>
      <c r="H799" s="8" t="s">
        <v>10</v>
      </c>
      <c r="I799" s="9">
        <v>82195215</v>
      </c>
      <c r="J799" s="10">
        <v>112800000</v>
      </c>
      <c r="L799" s="10">
        <v>150000000</v>
      </c>
      <c r="M799" s="13"/>
      <c r="N799" s="13"/>
      <c r="O799" s="13"/>
      <c r="P799" s="13"/>
    </row>
    <row r="800" spans="1:16" ht="31" x14ac:dyDescent="0.35">
      <c r="A800" s="5">
        <v>799</v>
      </c>
      <c r="B800" s="6" t="s">
        <v>804</v>
      </c>
      <c r="C800" s="7">
        <v>10</v>
      </c>
      <c r="D800" s="7" t="str">
        <f>VLOOKUP(C800,'5-Genre Codes'!$A$1:$B$11,2,FALSE)</f>
        <v>Contemporary Fiction</v>
      </c>
      <c r="E800" s="8">
        <v>1990</v>
      </c>
      <c r="F800" s="6">
        <v>13120</v>
      </c>
      <c r="G800" s="6" t="str">
        <f>VLOOKUP(F800,'4-Actor Codes'!$A$1:$B$622,2,FALSE)</f>
        <v>Harrison Ford</v>
      </c>
      <c r="H800" s="8" t="s">
        <v>10</v>
      </c>
      <c r="I800" s="9">
        <v>82115403</v>
      </c>
      <c r="J800" s="10">
        <v>134996812</v>
      </c>
      <c r="L800" s="10">
        <v>0</v>
      </c>
      <c r="M800" s="13"/>
      <c r="N800" s="13"/>
      <c r="O800" s="13"/>
      <c r="P800" s="13"/>
    </row>
    <row r="801" spans="1:16" ht="46.5" x14ac:dyDescent="0.35">
      <c r="A801" s="5">
        <v>800</v>
      </c>
      <c r="B801" s="6" t="s">
        <v>805</v>
      </c>
      <c r="C801" s="7">
        <v>90</v>
      </c>
      <c r="D801" s="7" t="str">
        <f>VLOOKUP(C801,'5-Genre Codes'!$A$1:$B$11,2,FALSE)</f>
        <v>Super Hero</v>
      </c>
      <c r="E801" s="8">
        <v>2002</v>
      </c>
      <c r="F801" s="6">
        <v>18565</v>
      </c>
      <c r="G801" s="6" t="str">
        <f>VLOOKUP(F801,'4-Actor Codes'!$A$1:$B$622,2,FALSE)</f>
        <v>Thomas Kretschmann</v>
      </c>
      <c r="H801" s="8" t="s">
        <v>13</v>
      </c>
      <c r="I801" s="9">
        <v>81676888</v>
      </c>
      <c r="J801" s="10">
        <v>72661713</v>
      </c>
      <c r="L801" s="10">
        <v>54000000</v>
      </c>
      <c r="M801" s="13"/>
      <c r="N801" s="13"/>
      <c r="O801" s="13"/>
      <c r="P801" s="13"/>
    </row>
    <row r="802" spans="1:16" ht="31" x14ac:dyDescent="0.35">
      <c r="A802" s="5">
        <v>801</v>
      </c>
      <c r="B802" s="6" t="s">
        <v>806</v>
      </c>
      <c r="C802" s="7">
        <v>10</v>
      </c>
      <c r="D802" s="7" t="str">
        <f>VLOOKUP(C802,'5-Genre Codes'!$A$1:$B$11,2,FALSE)</f>
        <v>Contemporary Fiction</v>
      </c>
      <c r="E802" s="8">
        <v>2006</v>
      </c>
      <c r="F802" s="6">
        <v>16300</v>
      </c>
      <c r="G802" s="6" t="str">
        <f>VLOOKUP(F802,'4-Actor Codes'!$A$1:$B$622,2,FALSE)</f>
        <v>Moon Bloodgood</v>
      </c>
      <c r="H802" s="8" t="s">
        <v>10</v>
      </c>
      <c r="I802" s="9">
        <v>81612565</v>
      </c>
      <c r="J802" s="10">
        <v>264200000</v>
      </c>
      <c r="L802" s="10">
        <v>178000000</v>
      </c>
      <c r="M802" s="13"/>
      <c r="N802" s="13"/>
      <c r="O802" s="13"/>
      <c r="P802" s="13"/>
    </row>
    <row r="803" spans="1:16" ht="31" x14ac:dyDescent="0.35">
      <c r="A803" s="5">
        <v>802</v>
      </c>
      <c r="B803" s="6" t="s">
        <v>807</v>
      </c>
      <c r="C803" s="7">
        <v>10</v>
      </c>
      <c r="D803" s="7" t="str">
        <f>VLOOKUP(C803,'5-Genre Codes'!$A$1:$B$11,2,FALSE)</f>
        <v>Contemporary Fiction</v>
      </c>
      <c r="E803" s="8">
        <v>1970</v>
      </c>
      <c r="F803" s="6">
        <v>12295</v>
      </c>
      <c r="G803" s="6" t="str">
        <f>VLOOKUP(F803,'4-Actor Codes'!$A$1:$B$622,2,FALSE)</f>
        <v>Donald Sutherland</v>
      </c>
      <c r="H803" s="8" t="s">
        <v>10</v>
      </c>
      <c r="I803" s="9">
        <v>81600000</v>
      </c>
      <c r="J803" s="10">
        <v>324000000</v>
      </c>
      <c r="L803" s="10">
        <v>40000000</v>
      </c>
      <c r="M803" s="13"/>
      <c r="N803" s="13"/>
      <c r="O803" s="13"/>
      <c r="P803" s="13"/>
    </row>
    <row r="804" spans="1:16" x14ac:dyDescent="0.35">
      <c r="A804" s="5">
        <v>803</v>
      </c>
      <c r="B804" s="6" t="s">
        <v>808</v>
      </c>
      <c r="C804" s="7">
        <v>20</v>
      </c>
      <c r="D804" s="7" t="str">
        <f>VLOOKUP(C804,'5-Genre Codes'!$A$1:$B$11,2,FALSE)</f>
        <v>Dramatization</v>
      </c>
      <c r="E804" s="8">
        <v>2010</v>
      </c>
      <c r="F804" s="6">
        <v>11380</v>
      </c>
      <c r="G804" s="6" t="str">
        <f>VLOOKUP(F804,'4-Actor Codes'!$A$1:$B$622,2,FALSE)</f>
        <v>Chris Pine</v>
      </c>
      <c r="H804" s="8" t="s">
        <v>10</v>
      </c>
      <c r="I804" s="9">
        <v>81562942</v>
      </c>
      <c r="J804" s="10">
        <v>87948667</v>
      </c>
      <c r="L804" s="10">
        <v>95000000</v>
      </c>
      <c r="M804" s="13"/>
      <c r="N804" s="13"/>
      <c r="O804" s="13"/>
      <c r="P804" s="13"/>
    </row>
    <row r="805" spans="1:16" ht="31" x14ac:dyDescent="0.35">
      <c r="A805" s="5">
        <v>804</v>
      </c>
      <c r="B805" s="6" t="s">
        <v>809</v>
      </c>
      <c r="C805" s="7">
        <v>10</v>
      </c>
      <c r="D805" s="7" t="str">
        <f>VLOOKUP(C805,'5-Genre Codes'!$A$1:$B$11,2,FALSE)</f>
        <v>Contemporary Fiction</v>
      </c>
      <c r="E805" s="8">
        <v>1999</v>
      </c>
      <c r="F805" s="6">
        <v>15865</v>
      </c>
      <c r="G805" s="6" t="str">
        <f>VLOOKUP(F805,'4-Actor Codes'!$A$1:$B$622,2,FALSE)</f>
        <v>Mel Gibson</v>
      </c>
      <c r="H805" s="8" t="s">
        <v>10</v>
      </c>
      <c r="I805" s="9">
        <v>81526121</v>
      </c>
      <c r="J805" s="10">
        <v>80100000</v>
      </c>
      <c r="L805" s="10">
        <v>50000000</v>
      </c>
      <c r="M805" s="13"/>
      <c r="N805" s="13"/>
      <c r="O805" s="13"/>
      <c r="P805" s="13"/>
    </row>
    <row r="806" spans="1:16" ht="31" x14ac:dyDescent="0.35">
      <c r="A806" s="5">
        <v>805</v>
      </c>
      <c r="B806" s="6" t="s">
        <v>810</v>
      </c>
      <c r="C806" s="7">
        <v>50</v>
      </c>
      <c r="D806" s="7" t="str">
        <f>VLOOKUP(C806,'5-Genre Codes'!$A$1:$B$11,2,FALSE)</f>
        <v>Historical Fiction</v>
      </c>
      <c r="E806" s="8">
        <v>1999</v>
      </c>
      <c r="F806" s="6">
        <v>15685</v>
      </c>
      <c r="G806" s="6" t="str">
        <f>VLOOKUP(F806,'4-Actor Codes'!$A$1:$B$622,2,FALSE)</f>
        <v>Matt Damon</v>
      </c>
      <c r="H806" s="8" t="s">
        <v>10</v>
      </c>
      <c r="I806" s="9">
        <v>81292135</v>
      </c>
      <c r="J806" s="10">
        <v>141020000</v>
      </c>
      <c r="L806" s="10">
        <v>0</v>
      </c>
      <c r="M806" s="13"/>
      <c r="N806" s="13"/>
      <c r="O806" s="13"/>
      <c r="P806" s="13"/>
    </row>
    <row r="807" spans="1:16" ht="31" x14ac:dyDescent="0.35">
      <c r="A807" s="5">
        <v>806</v>
      </c>
      <c r="B807" s="6" t="s">
        <v>811</v>
      </c>
      <c r="C807" s="7">
        <v>40</v>
      </c>
      <c r="D807" s="7" t="str">
        <f>VLOOKUP(C807,'5-Genre Codes'!$A$1:$B$11,2,FALSE)</f>
        <v>Fantasy</v>
      </c>
      <c r="E807" s="8">
        <v>2015</v>
      </c>
      <c r="F807" s="6">
        <v>15565</v>
      </c>
      <c r="G807" s="6" t="str">
        <f>VLOOKUP(F807,'4-Actor Codes'!$A$1:$B$622,2,FALSE)</f>
        <v>Mark Wahlberg</v>
      </c>
      <c r="H807" s="8" t="s">
        <v>13</v>
      </c>
      <c r="I807" s="9">
        <v>81284830</v>
      </c>
      <c r="J807" s="10">
        <v>134387223</v>
      </c>
      <c r="L807" s="10">
        <v>0</v>
      </c>
      <c r="M807" s="13"/>
      <c r="N807" s="13"/>
      <c r="O807" s="13"/>
      <c r="P807" s="13"/>
    </row>
    <row r="808" spans="1:16" ht="31" x14ac:dyDescent="0.35">
      <c r="A808" s="5">
        <v>807</v>
      </c>
      <c r="B808" s="6" t="s">
        <v>812</v>
      </c>
      <c r="C808" s="7">
        <v>10</v>
      </c>
      <c r="D808" s="7" t="str">
        <f>VLOOKUP(C808,'5-Genre Codes'!$A$1:$B$11,2,FALSE)</f>
        <v>Contemporary Fiction</v>
      </c>
      <c r="E808" s="8">
        <v>2003</v>
      </c>
      <c r="F808" s="6">
        <v>13405</v>
      </c>
      <c r="G808" s="6" t="str">
        <f>VLOOKUP(F808,'4-Actor Codes'!$A$1:$B$622,2,FALSE)</f>
        <v>Jack Black</v>
      </c>
      <c r="H808" s="8" t="s">
        <v>10</v>
      </c>
      <c r="I808" s="9">
        <v>81261177</v>
      </c>
      <c r="J808" s="10">
        <v>50684126</v>
      </c>
      <c r="L808" s="10">
        <v>20000000</v>
      </c>
      <c r="M808" s="13"/>
      <c r="N808" s="13"/>
      <c r="O808" s="13"/>
      <c r="P808" s="13"/>
    </row>
    <row r="809" spans="1:16" ht="31" x14ac:dyDescent="0.35">
      <c r="A809" s="5">
        <v>808</v>
      </c>
      <c r="B809" s="6" t="s">
        <v>813</v>
      </c>
      <c r="C809" s="7">
        <v>10</v>
      </c>
      <c r="D809" s="7" t="str">
        <f>VLOOKUP(C809,'5-Genre Codes'!$A$1:$B$11,2,FALSE)</f>
        <v>Contemporary Fiction</v>
      </c>
      <c r="E809" s="8">
        <v>1984</v>
      </c>
      <c r="F809" s="6">
        <v>18220</v>
      </c>
      <c r="G809" s="6" t="str">
        <f>VLOOKUP(F809,'4-Actor Codes'!$A$1:$B$622,2,FALSE)</f>
        <v>Steve Guttenberg</v>
      </c>
      <c r="H809" s="8" t="s">
        <v>10</v>
      </c>
      <c r="I809" s="9">
        <v>81198894</v>
      </c>
      <c r="J809" s="10">
        <v>77900000</v>
      </c>
      <c r="L809" s="10">
        <v>30000000</v>
      </c>
      <c r="M809" s="13"/>
      <c r="N809" s="13"/>
      <c r="O809" s="13"/>
      <c r="P809" s="13"/>
    </row>
    <row r="810" spans="1:16" x14ac:dyDescent="0.35">
      <c r="A810" s="5">
        <v>809</v>
      </c>
      <c r="B810" s="6" t="s">
        <v>814</v>
      </c>
      <c r="C810" s="7">
        <v>80</v>
      </c>
      <c r="D810" s="7" t="str">
        <f>VLOOKUP(C810,'5-Genre Codes'!$A$1:$B$11,2,FALSE)</f>
        <v>Science Fiction</v>
      </c>
      <c r="E810" s="8">
        <v>2008</v>
      </c>
      <c r="F810" s="6">
        <v>12190</v>
      </c>
      <c r="G810" s="6" t="str">
        <f>VLOOKUP(F810,'4-Actor Codes'!$A$1:$B$622,2,FALSE)</f>
        <v>Diane Lane</v>
      </c>
      <c r="H810" s="8" t="s">
        <v>10</v>
      </c>
      <c r="I810" s="9">
        <v>81168265</v>
      </c>
      <c r="J810" s="10">
        <v>142468684</v>
      </c>
      <c r="L810" s="10">
        <v>82500000</v>
      </c>
      <c r="M810" s="13"/>
      <c r="N810" s="13"/>
      <c r="O810" s="13"/>
      <c r="P810" s="13"/>
    </row>
    <row r="811" spans="1:16" ht="31" x14ac:dyDescent="0.35">
      <c r="A811" s="5">
        <v>810</v>
      </c>
      <c r="B811" s="6" t="s">
        <v>815</v>
      </c>
      <c r="C811" s="7">
        <v>10</v>
      </c>
      <c r="D811" s="7" t="str">
        <f>VLOOKUP(C811,'5-Genre Codes'!$A$1:$B$11,2,FALSE)</f>
        <v>Contemporary Fiction</v>
      </c>
      <c r="E811" s="8">
        <v>2008</v>
      </c>
      <c r="F811" s="6">
        <v>13435</v>
      </c>
      <c r="G811" s="6" t="str">
        <f>VLOOKUP(F811,'4-Actor Codes'!$A$1:$B$622,2,FALSE)</f>
        <v>Jack McGee</v>
      </c>
      <c r="H811" s="8" t="s">
        <v>10</v>
      </c>
      <c r="I811" s="9">
        <v>81159365</v>
      </c>
      <c r="J811" s="10">
        <v>76693167</v>
      </c>
      <c r="L811" s="10">
        <v>35000000</v>
      </c>
      <c r="M811" s="13"/>
      <c r="N811" s="13"/>
      <c r="O811" s="13"/>
      <c r="P811" s="13"/>
    </row>
    <row r="812" spans="1:16" ht="31" x14ac:dyDescent="0.35">
      <c r="A812" s="5">
        <v>811</v>
      </c>
      <c r="B812" s="6" t="s">
        <v>816</v>
      </c>
      <c r="C812" s="7">
        <v>60</v>
      </c>
      <c r="D812" s="7" t="str">
        <f>VLOOKUP(C812,'5-Genre Codes'!$A$1:$B$11,2,FALSE)</f>
        <v>Kids Fiction</v>
      </c>
      <c r="E812" s="8">
        <v>2002</v>
      </c>
      <c r="F812" s="6">
        <v>11680</v>
      </c>
      <c r="G812" s="6" t="str">
        <f>VLOOKUP(F812,'4-Actor Codes'!$A$1:$B$622,2,FALSE)</f>
        <v>Cuba Gooding, Jr.</v>
      </c>
      <c r="H812" s="8" t="s">
        <v>10</v>
      </c>
      <c r="I812" s="9">
        <v>81150692</v>
      </c>
      <c r="J812" s="10">
        <v>243199737</v>
      </c>
      <c r="L812" s="10">
        <v>14000000</v>
      </c>
      <c r="M812" s="13"/>
      <c r="N812" s="13"/>
      <c r="O812" s="13"/>
      <c r="P812" s="13"/>
    </row>
    <row r="813" spans="1:16" ht="31" x14ac:dyDescent="0.35">
      <c r="A813" s="5">
        <v>812</v>
      </c>
      <c r="B813" s="6" t="s">
        <v>817</v>
      </c>
      <c r="C813" s="7">
        <v>10</v>
      </c>
      <c r="D813" s="7" t="str">
        <f>VLOOKUP(C813,'5-Genre Codes'!$A$1:$B$11,2,FALSE)</f>
        <v>Contemporary Fiction</v>
      </c>
      <c r="E813" s="8">
        <v>1995</v>
      </c>
      <c r="F813" s="6">
        <v>16870</v>
      </c>
      <c r="G813" s="6" t="str">
        <f>VLOOKUP(F813,'4-Actor Codes'!$A$1:$B$622,2,FALSE)</f>
        <v>Peter Gallagher</v>
      </c>
      <c r="H813" s="8" t="s">
        <v>10</v>
      </c>
      <c r="I813" s="9">
        <v>81052361</v>
      </c>
      <c r="J813" s="10">
        <v>101000000</v>
      </c>
      <c r="L813" s="10">
        <v>0</v>
      </c>
      <c r="M813" s="13"/>
      <c r="N813" s="13"/>
      <c r="O813" s="13"/>
      <c r="P813" s="13"/>
    </row>
    <row r="814" spans="1:16" ht="31" x14ac:dyDescent="0.35">
      <c r="A814" s="5">
        <v>813</v>
      </c>
      <c r="B814" s="6" t="s">
        <v>818</v>
      </c>
      <c r="C814" s="7">
        <v>10</v>
      </c>
      <c r="D814" s="7" t="str">
        <f>VLOOKUP(C814,'5-Genre Codes'!$A$1:$B$11,2,FALSE)</f>
        <v>Contemporary Fiction</v>
      </c>
      <c r="E814" s="8">
        <v>2004</v>
      </c>
      <c r="F814" s="6">
        <v>17635</v>
      </c>
      <c r="G814" s="6" t="str">
        <f>VLOOKUP(F814,'4-Actor Codes'!$A$1:$B$622,2,FALSE)</f>
        <v>Ryan Gosling</v>
      </c>
      <c r="H814" s="8" t="s">
        <v>10</v>
      </c>
      <c r="I814" s="9">
        <v>81001787</v>
      </c>
      <c r="J814" s="10">
        <v>72346000</v>
      </c>
      <c r="L814" s="10">
        <v>45000000</v>
      </c>
      <c r="M814" s="13"/>
      <c r="N814" s="13"/>
      <c r="O814" s="13"/>
      <c r="P814" s="13"/>
    </row>
    <row r="815" spans="1:16" ht="31" x14ac:dyDescent="0.35">
      <c r="A815" s="5">
        <v>814</v>
      </c>
      <c r="B815" s="6" t="s">
        <v>819</v>
      </c>
      <c r="C815" s="7">
        <v>10</v>
      </c>
      <c r="D815" s="7" t="str">
        <f>VLOOKUP(C815,'5-Genre Codes'!$A$1:$B$11,2,FALSE)</f>
        <v>Contemporary Fiction</v>
      </c>
      <c r="E815" s="8">
        <v>1995</v>
      </c>
      <c r="F815" s="6">
        <v>12385</v>
      </c>
      <c r="G815" s="6" t="str">
        <f>VLOOKUP(F815,'4-Actor Codes'!$A$1:$B$622,2,FALSE)</f>
        <v>Dylan Walsh</v>
      </c>
      <c r="H815" s="8" t="s">
        <v>10</v>
      </c>
      <c r="I815" s="9">
        <v>80998938</v>
      </c>
      <c r="J815" s="10">
        <v>71000000</v>
      </c>
      <c r="L815" s="10">
        <v>50000000</v>
      </c>
      <c r="M815" s="13"/>
      <c r="N815" s="13"/>
      <c r="O815" s="13"/>
      <c r="P815" s="13"/>
    </row>
    <row r="816" spans="1:16" x14ac:dyDescent="0.35">
      <c r="A816" s="5">
        <v>815</v>
      </c>
      <c r="B816" s="6" t="s">
        <v>820</v>
      </c>
      <c r="C816" s="7">
        <v>60</v>
      </c>
      <c r="D816" s="7" t="str">
        <f>VLOOKUP(C816,'5-Genre Codes'!$A$1:$B$11,2,FALSE)</f>
        <v>Kids Fiction</v>
      </c>
      <c r="E816" s="8">
        <v>2001</v>
      </c>
      <c r="F816" s="6">
        <v>10870</v>
      </c>
      <c r="G816" s="6" t="str">
        <f>VLOOKUP(F816,'4-Actor Codes'!$A$1:$B$622,2,FALSE)</f>
        <v>Billy West</v>
      </c>
      <c r="H816" s="8" t="s">
        <v>10</v>
      </c>
      <c r="I816" s="9">
        <v>80936232</v>
      </c>
      <c r="J816" s="10">
        <v>181362621</v>
      </c>
      <c r="L816" s="10">
        <v>0</v>
      </c>
      <c r="M816" s="13"/>
      <c r="N816" s="13"/>
      <c r="O816" s="13"/>
      <c r="P816" s="13"/>
    </row>
    <row r="817" spans="1:16" ht="31" x14ac:dyDescent="0.35">
      <c r="A817" s="5">
        <v>816</v>
      </c>
      <c r="B817" s="6" t="s">
        <v>821</v>
      </c>
      <c r="C817" s="7">
        <v>80</v>
      </c>
      <c r="D817" s="7" t="str">
        <f>VLOOKUP(C817,'5-Genre Codes'!$A$1:$B$11,2,FALSE)</f>
        <v>Science Fiction</v>
      </c>
      <c r="E817" s="8">
        <v>1979</v>
      </c>
      <c r="F817" s="6">
        <v>19255</v>
      </c>
      <c r="G817" s="6" t="str">
        <f>VLOOKUP(F817,'4-Actor Codes'!$A$1:$B$622,2,FALSE)</f>
        <v>Yaphet Kotto</v>
      </c>
      <c r="H817" s="8" t="s">
        <v>10</v>
      </c>
      <c r="I817" s="9">
        <v>80930630</v>
      </c>
      <c r="J817" s="10">
        <v>122700000</v>
      </c>
      <c r="L817" s="10">
        <v>9000000</v>
      </c>
      <c r="M817" s="13"/>
      <c r="N817" s="13"/>
      <c r="O817" s="13"/>
      <c r="P817" s="13"/>
    </row>
    <row r="818" spans="1:16" ht="31" x14ac:dyDescent="0.35">
      <c r="A818" s="5">
        <v>817</v>
      </c>
      <c r="B818" s="6" t="s">
        <v>822</v>
      </c>
      <c r="C818" s="7">
        <v>10</v>
      </c>
      <c r="D818" s="7" t="str">
        <f>VLOOKUP(C818,'5-Genre Codes'!$A$1:$B$11,2,FALSE)</f>
        <v>Contemporary Fiction</v>
      </c>
      <c r="E818" s="8">
        <v>1981</v>
      </c>
      <c r="F818" s="6">
        <v>14140</v>
      </c>
      <c r="G818" s="6" t="str">
        <f>VLOOKUP(F818,'4-Actor Codes'!$A$1:$B$622,2,FALSE)</f>
        <v>Jill Eikenberry</v>
      </c>
      <c r="H818" s="8" t="s">
        <v>10</v>
      </c>
      <c r="I818" s="9">
        <v>80803852</v>
      </c>
      <c r="J818" s="10">
        <v>353021818</v>
      </c>
      <c r="L818" s="10">
        <v>140000000</v>
      </c>
      <c r="M818" s="13"/>
      <c r="N818" s="13"/>
      <c r="O818" s="13"/>
      <c r="P818" s="13"/>
    </row>
    <row r="819" spans="1:16" ht="31" x14ac:dyDescent="0.35">
      <c r="A819" s="5">
        <v>818</v>
      </c>
      <c r="B819" s="6" t="s">
        <v>823</v>
      </c>
      <c r="C819" s="7">
        <v>10</v>
      </c>
      <c r="D819" s="7" t="str">
        <f>VLOOKUP(C819,'5-Genre Codes'!$A$1:$B$11,2,FALSE)</f>
        <v>Contemporary Fiction</v>
      </c>
      <c r="E819" s="8">
        <v>1988</v>
      </c>
      <c r="F819" s="6">
        <v>17305</v>
      </c>
      <c r="G819" s="6" t="str">
        <f>VLOOKUP(F819,'4-Actor Codes'!$A$1:$B$622,2,FALSE)</f>
        <v>Robert Davi</v>
      </c>
      <c r="H819" s="8" t="s">
        <v>10</v>
      </c>
      <c r="I819" s="9">
        <v>80639179</v>
      </c>
      <c r="J819" s="10">
        <v>57759104</v>
      </c>
      <c r="L819" s="10">
        <v>28000000</v>
      </c>
      <c r="M819" s="13"/>
      <c r="N819" s="13"/>
      <c r="O819" s="13"/>
      <c r="P819" s="13"/>
    </row>
    <row r="820" spans="1:16" ht="31" x14ac:dyDescent="0.35">
      <c r="A820" s="5">
        <v>819</v>
      </c>
      <c r="B820" s="6" t="s">
        <v>824</v>
      </c>
      <c r="C820" s="7">
        <v>10</v>
      </c>
      <c r="D820" s="7" t="str">
        <f>VLOOKUP(C820,'5-Genre Codes'!$A$1:$B$11,2,FALSE)</f>
        <v>Contemporary Fiction</v>
      </c>
      <c r="E820" s="8">
        <v>2010</v>
      </c>
      <c r="F820" s="6">
        <v>14530</v>
      </c>
      <c r="G820" s="6" t="str">
        <f>VLOOKUP(F820,'4-Actor Codes'!$A$1:$B$622,2,FALSE)</f>
        <v>Julia Roberts</v>
      </c>
      <c r="H820" s="8" t="s">
        <v>10</v>
      </c>
      <c r="I820" s="9">
        <v>80574010</v>
      </c>
      <c r="J820" s="10">
        <v>126024779</v>
      </c>
      <c r="L820" s="10">
        <v>60000000</v>
      </c>
      <c r="M820" s="13"/>
      <c r="N820" s="13"/>
      <c r="O820" s="13"/>
      <c r="P820" s="13"/>
    </row>
    <row r="821" spans="1:16" ht="31" x14ac:dyDescent="0.35">
      <c r="A821" s="5">
        <v>820</v>
      </c>
      <c r="B821" s="6" t="s">
        <v>825</v>
      </c>
      <c r="C821" s="7">
        <v>80</v>
      </c>
      <c r="D821" s="7" t="str">
        <f>VLOOKUP(C821,'5-Genre Codes'!$A$1:$B$11,2,FALSE)</f>
        <v>Science Fiction</v>
      </c>
      <c r="E821" s="8">
        <v>2015</v>
      </c>
      <c r="F821" s="6">
        <v>12370</v>
      </c>
      <c r="G821" s="6" t="str">
        <f>VLOOKUP(F821,'4-Actor Codes'!$A$1:$B$622,2,FALSE)</f>
        <v>Dylan O'Brien</v>
      </c>
      <c r="H821" s="8" t="s">
        <v>13</v>
      </c>
      <c r="I821" s="9">
        <v>80545201</v>
      </c>
      <c r="J821" s="10">
        <v>218500000</v>
      </c>
      <c r="L821" s="10">
        <v>61000000</v>
      </c>
      <c r="M821" s="13"/>
      <c r="N821" s="13"/>
      <c r="O821" s="13"/>
      <c r="P821" s="13"/>
    </row>
    <row r="822" spans="1:16" ht="46.5" x14ac:dyDescent="0.35">
      <c r="A822" s="5">
        <v>821</v>
      </c>
      <c r="B822" s="6" t="s">
        <v>826</v>
      </c>
      <c r="C822" s="7">
        <v>50</v>
      </c>
      <c r="D822" s="7" t="str">
        <f>VLOOKUP(C822,'5-Genre Codes'!$A$1:$B$11,2,FALSE)</f>
        <v>Historical Fiction</v>
      </c>
      <c r="E822" s="8">
        <v>1971</v>
      </c>
      <c r="F822" s="6">
        <v>16765</v>
      </c>
      <c r="G822" s="6" t="str">
        <f>VLOOKUP(F822,'4-Actor Codes'!$A$1:$B$622,2,FALSE)</f>
        <v>Paul Michael Glaser</v>
      </c>
      <c r="H822" s="8" t="s">
        <v>10</v>
      </c>
      <c r="I822" s="9">
        <v>80500000</v>
      </c>
      <c r="J822" s="10">
        <v>163454307</v>
      </c>
      <c r="L822" s="10">
        <v>14000000</v>
      </c>
      <c r="M822" s="13"/>
      <c r="N822" s="13"/>
      <c r="O822" s="13"/>
      <c r="P822" s="13"/>
    </row>
    <row r="823" spans="1:16" x14ac:dyDescent="0.35">
      <c r="A823" s="5">
        <v>822</v>
      </c>
      <c r="B823" s="6" t="s">
        <v>827</v>
      </c>
      <c r="C823" s="7">
        <v>50</v>
      </c>
      <c r="D823" s="7" t="str">
        <f>VLOOKUP(C823,'5-Genre Codes'!$A$1:$B$11,2,FALSE)</f>
        <v>Historical Fiction</v>
      </c>
      <c r="E823" s="8">
        <v>2003</v>
      </c>
      <c r="F823" s="6">
        <v>14110</v>
      </c>
      <c r="G823" s="6" t="str">
        <f>VLOOKUP(F823,'4-Actor Codes'!$A$1:$B$622,2,FALSE)</f>
        <v>Jessica Biel</v>
      </c>
      <c r="H823" s="8" t="s">
        <v>10</v>
      </c>
      <c r="I823" s="9">
        <v>80390022</v>
      </c>
      <c r="J823" s="10">
        <v>141600000</v>
      </c>
      <c r="L823" s="10">
        <v>75000000</v>
      </c>
      <c r="M823" s="13"/>
      <c r="N823" s="13"/>
      <c r="O823" s="13"/>
      <c r="P823" s="13"/>
    </row>
    <row r="824" spans="1:16" ht="31" x14ac:dyDescent="0.35">
      <c r="A824" s="5">
        <v>823</v>
      </c>
      <c r="B824" s="6" t="s">
        <v>828</v>
      </c>
      <c r="C824" s="7">
        <v>40</v>
      </c>
      <c r="D824" s="7" t="str">
        <f>VLOOKUP(C824,'5-Genre Codes'!$A$1:$B$11,2,FALSE)</f>
        <v>Fantasy</v>
      </c>
      <c r="E824" s="8">
        <v>2010</v>
      </c>
      <c r="F824" s="6">
        <v>10015</v>
      </c>
      <c r="G824" s="6" t="str">
        <f>VLOOKUP(F824,'4-Actor Codes'!$A$1:$B$622,2,FALSE)</f>
        <v>Adam Sandler</v>
      </c>
      <c r="H824" s="8" t="s">
        <v>10</v>
      </c>
      <c r="I824" s="9">
        <v>80360866</v>
      </c>
      <c r="J824" s="10">
        <v>90444659</v>
      </c>
      <c r="L824" s="10">
        <v>80000000</v>
      </c>
      <c r="M824" s="13"/>
      <c r="N824" s="13"/>
      <c r="O824" s="13"/>
      <c r="P824" s="13"/>
    </row>
    <row r="825" spans="1:16" ht="31" x14ac:dyDescent="0.35">
      <c r="A825" s="5">
        <v>824</v>
      </c>
      <c r="B825" s="6" t="s">
        <v>829</v>
      </c>
      <c r="C825" s="7">
        <v>80</v>
      </c>
      <c r="D825" s="7" t="str">
        <f>VLOOKUP(C825,'5-Genre Codes'!$A$1:$B$11,2,FALSE)</f>
        <v>Science Fiction</v>
      </c>
      <c r="E825" s="8">
        <v>2004</v>
      </c>
      <c r="F825" s="6">
        <v>18850</v>
      </c>
      <c r="G825" s="6" t="str">
        <f>VLOOKUP(F825,'4-Actor Codes'!$A$1:$B$622,2,FALSE)</f>
        <v>Tommy Flanagan</v>
      </c>
      <c r="H825" s="8" t="s">
        <v>10</v>
      </c>
      <c r="I825" s="9">
        <v>80281096</v>
      </c>
      <c r="J825" s="10">
        <v>92262423</v>
      </c>
      <c r="L825" s="10">
        <v>70000000</v>
      </c>
      <c r="M825" s="13"/>
      <c r="N825" s="13"/>
      <c r="O825" s="13"/>
      <c r="P825" s="13"/>
    </row>
    <row r="826" spans="1:16" ht="31" x14ac:dyDescent="0.35">
      <c r="A826" s="5">
        <v>825</v>
      </c>
      <c r="B826" s="6" t="s">
        <v>830</v>
      </c>
      <c r="C826" s="7">
        <v>10</v>
      </c>
      <c r="D826" s="7" t="str">
        <f>VLOOKUP(C826,'5-Genre Codes'!$A$1:$B$11,2,FALSE)</f>
        <v>Contemporary Fiction</v>
      </c>
      <c r="E826" s="8">
        <v>2008</v>
      </c>
      <c r="F826" s="6">
        <v>11140</v>
      </c>
      <c r="G826" s="6" t="str">
        <f>VLOOKUP(F826,'4-Actor Codes'!$A$1:$B$622,2,FALSE)</f>
        <v>Cameron Diaz</v>
      </c>
      <c r="H826" s="8" t="s">
        <v>10</v>
      </c>
      <c r="I826" s="9">
        <v>80277646</v>
      </c>
      <c r="J826" s="10">
        <v>138258062</v>
      </c>
      <c r="L826" s="10">
        <v>35000000</v>
      </c>
      <c r="M826" s="13"/>
      <c r="N826" s="13"/>
      <c r="O826" s="13"/>
      <c r="P826" s="13"/>
    </row>
    <row r="827" spans="1:16" ht="31" x14ac:dyDescent="0.35">
      <c r="A827" s="5">
        <v>826</v>
      </c>
      <c r="B827" s="6" t="s">
        <v>831</v>
      </c>
      <c r="C827" s="7">
        <v>10</v>
      </c>
      <c r="D827" s="7" t="str">
        <f>VLOOKUP(C827,'5-Genre Codes'!$A$1:$B$11,2,FALSE)</f>
        <v>Contemporary Fiction</v>
      </c>
      <c r="E827" s="8">
        <v>2005</v>
      </c>
      <c r="F827" s="6">
        <v>15400</v>
      </c>
      <c r="G827" s="6" t="str">
        <f>VLOOKUP(F827,'4-Actor Codes'!$A$1:$B$622,2,FALSE)</f>
        <v>M.C. Gainey</v>
      </c>
      <c r="H827" s="8" t="s">
        <v>10</v>
      </c>
      <c r="I827" s="9">
        <v>80270227</v>
      </c>
      <c r="J827" s="10">
        <v>120498675</v>
      </c>
      <c r="L827" s="10">
        <v>65000000</v>
      </c>
      <c r="M827" s="13"/>
      <c r="N827" s="13"/>
      <c r="O827" s="13"/>
      <c r="P827" s="13"/>
    </row>
    <row r="828" spans="1:16" ht="31" x14ac:dyDescent="0.35">
      <c r="A828" s="5">
        <v>827</v>
      </c>
      <c r="B828" s="6" t="s">
        <v>832</v>
      </c>
      <c r="C828" s="7">
        <v>10</v>
      </c>
      <c r="D828" s="7" t="str">
        <f>VLOOKUP(C828,'5-Genre Codes'!$A$1:$B$11,2,FALSE)</f>
        <v>Contemporary Fiction</v>
      </c>
      <c r="E828" s="8">
        <v>2006</v>
      </c>
      <c r="F828" s="6">
        <v>18700</v>
      </c>
      <c r="G828" s="6" t="str">
        <f>VLOOKUP(F828,'4-Actor Codes'!$A$1:$B$622,2,FALSE)</f>
        <v>Tobin Bell</v>
      </c>
      <c r="H828" s="8" t="s">
        <v>13</v>
      </c>
      <c r="I828" s="9">
        <v>80238724</v>
      </c>
      <c r="J828" s="10">
        <v>83638091</v>
      </c>
      <c r="L828" s="10">
        <v>10000000</v>
      </c>
      <c r="M828" s="13"/>
      <c r="N828" s="13"/>
      <c r="O828" s="13"/>
      <c r="P828" s="13"/>
    </row>
    <row r="829" spans="1:16" ht="31" x14ac:dyDescent="0.35">
      <c r="A829" s="5">
        <v>828</v>
      </c>
      <c r="B829" s="6" t="s">
        <v>833</v>
      </c>
      <c r="C829" s="7">
        <v>50</v>
      </c>
      <c r="D829" s="7" t="str">
        <f>VLOOKUP(C829,'5-Genre Codes'!$A$1:$B$11,2,FALSE)</f>
        <v>Historical Fiction</v>
      </c>
      <c r="E829" s="8">
        <v>1998</v>
      </c>
      <c r="F829" s="6">
        <v>12310</v>
      </c>
      <c r="G829" s="6" t="str">
        <f>VLOOKUP(F829,'4-Actor Codes'!$A$1:$B$622,2,FALSE)</f>
        <v>Drew Barrymore</v>
      </c>
      <c r="H829" s="8" t="s">
        <v>10</v>
      </c>
      <c r="I829" s="9">
        <v>80224502</v>
      </c>
      <c r="J829" s="10">
        <v>74000000</v>
      </c>
      <c r="L829" s="10">
        <v>40000000</v>
      </c>
      <c r="M829" s="13"/>
      <c r="N829" s="13"/>
      <c r="O829" s="13"/>
      <c r="P829" s="13"/>
    </row>
    <row r="830" spans="1:16" ht="31" x14ac:dyDescent="0.35">
      <c r="A830" s="5">
        <v>829</v>
      </c>
      <c r="B830" s="6" t="s">
        <v>834</v>
      </c>
      <c r="C830" s="7">
        <v>10</v>
      </c>
      <c r="D830" s="7" t="str">
        <f>VLOOKUP(C830,'5-Genre Codes'!$A$1:$B$11,2,FALSE)</f>
        <v>Contemporary Fiction</v>
      </c>
      <c r="E830" s="8">
        <v>2006</v>
      </c>
      <c r="F830" s="6">
        <v>13405</v>
      </c>
      <c r="G830" s="6" t="str">
        <f>VLOOKUP(F830,'4-Actor Codes'!$A$1:$B$622,2,FALSE)</f>
        <v>Jack Black</v>
      </c>
      <c r="H830" s="8" t="s">
        <v>10</v>
      </c>
      <c r="I830" s="9">
        <v>80197993</v>
      </c>
      <c r="J830" s="10">
        <v>66686829</v>
      </c>
      <c r="L830" s="10">
        <v>30000000</v>
      </c>
      <c r="M830" s="13"/>
      <c r="N830" s="13"/>
      <c r="O830" s="13"/>
      <c r="P830" s="13"/>
    </row>
    <row r="831" spans="1:16" ht="31" x14ac:dyDescent="0.35">
      <c r="A831" s="5">
        <v>830</v>
      </c>
      <c r="B831" s="6" t="s">
        <v>835</v>
      </c>
      <c r="C831" s="7">
        <v>10</v>
      </c>
      <c r="D831" s="7" t="str">
        <f>VLOOKUP(C831,'5-Genre Codes'!$A$1:$B$11,2,FALSE)</f>
        <v>Contemporary Fiction</v>
      </c>
      <c r="E831" s="8">
        <v>2007</v>
      </c>
      <c r="F831" s="6">
        <v>15670</v>
      </c>
      <c r="G831" s="6" t="str">
        <f>VLOOKUP(F831,'4-Actor Codes'!$A$1:$B$622,2,FALSE)</f>
        <v>Matt Craven</v>
      </c>
      <c r="H831" s="8" t="s">
        <v>10</v>
      </c>
      <c r="I831" s="9">
        <v>80106701</v>
      </c>
      <c r="J831" s="10">
        <v>96807196</v>
      </c>
      <c r="L831" s="10">
        <v>30000000</v>
      </c>
      <c r="M831" s="13"/>
      <c r="N831" s="13"/>
      <c r="O831" s="13"/>
      <c r="P831" s="13"/>
    </row>
    <row r="832" spans="1:16" ht="31" x14ac:dyDescent="0.35">
      <c r="A832" s="5">
        <v>831</v>
      </c>
      <c r="B832" s="6" t="s">
        <v>836</v>
      </c>
      <c r="C832" s="7">
        <v>10</v>
      </c>
      <c r="D832" s="7" t="str">
        <f>VLOOKUP(C832,'5-Genre Codes'!$A$1:$B$11,2,FALSE)</f>
        <v>Contemporary Fiction</v>
      </c>
      <c r="E832" s="8">
        <v>2012</v>
      </c>
      <c r="F832" s="6">
        <v>18745</v>
      </c>
      <c r="G832" s="6" t="str">
        <f>VLOOKUP(F832,'4-Actor Codes'!$A$1:$B$622,2,FALSE)</f>
        <v>Tom Cruise</v>
      </c>
      <c r="H832" s="8" t="s">
        <v>10</v>
      </c>
      <c r="I832" s="9">
        <v>80070736</v>
      </c>
      <c r="J832" s="10">
        <v>137300000</v>
      </c>
      <c r="L832" s="10">
        <v>60000000</v>
      </c>
      <c r="M832" s="13"/>
      <c r="N832" s="13"/>
      <c r="O832" s="13"/>
      <c r="P832" s="13"/>
    </row>
    <row r="833" spans="1:16" x14ac:dyDescent="0.35">
      <c r="A833" s="5">
        <v>832</v>
      </c>
      <c r="B833" s="6" t="s">
        <v>837</v>
      </c>
      <c r="C833" s="7">
        <v>80</v>
      </c>
      <c r="D833" s="7" t="str">
        <f>VLOOKUP(C833,'5-Genre Codes'!$A$1:$B$11,2,FALSE)</f>
        <v>Science Fiction</v>
      </c>
      <c r="E833" s="8">
        <v>2008</v>
      </c>
      <c r="F833" s="6">
        <v>18400</v>
      </c>
      <c r="G833" s="6" t="str">
        <f>VLOOKUP(F833,'4-Actor Codes'!$A$1:$B$622,2,FALSE)</f>
        <v>T.J. Miller</v>
      </c>
      <c r="H833" s="8" t="s">
        <v>10</v>
      </c>
      <c r="I833" s="9">
        <v>80048433</v>
      </c>
      <c r="J833" s="10">
        <v>91253793</v>
      </c>
      <c r="L833" s="10">
        <v>25000000</v>
      </c>
      <c r="M833" s="13"/>
      <c r="N833" s="13"/>
      <c r="O833" s="13"/>
      <c r="P833" s="13"/>
    </row>
    <row r="834" spans="1:16" ht="46.5" x14ac:dyDescent="0.35">
      <c r="A834" s="5">
        <v>833</v>
      </c>
      <c r="B834" s="6" t="s">
        <v>838</v>
      </c>
      <c r="C834" s="7">
        <v>10</v>
      </c>
      <c r="D834" s="7" t="str">
        <f>VLOOKUP(C834,'5-Genre Codes'!$A$1:$B$11,2,FALSE)</f>
        <v>Contemporary Fiction</v>
      </c>
      <c r="E834" s="8">
        <v>1990</v>
      </c>
      <c r="F834" s="6">
        <v>18670</v>
      </c>
      <c r="G834" s="6" t="str">
        <f>VLOOKUP(F834,'4-Actor Codes'!$A$1:$B$622,2,FALSE)</f>
        <v>Tisha Campbell-Martin</v>
      </c>
      <c r="H834" s="8" t="s">
        <v>13</v>
      </c>
      <c r="I834" s="9">
        <v>80047413</v>
      </c>
      <c r="J834" s="10">
        <v>72700000</v>
      </c>
      <c r="L834" s="10">
        <v>0</v>
      </c>
      <c r="M834" s="13"/>
      <c r="N834" s="13"/>
      <c r="O834" s="13"/>
      <c r="P834" s="13"/>
    </row>
    <row r="835" spans="1:16" ht="31" x14ac:dyDescent="0.35">
      <c r="A835" s="5">
        <v>834</v>
      </c>
      <c r="B835" s="6" t="s">
        <v>839</v>
      </c>
      <c r="C835" s="7">
        <v>10</v>
      </c>
      <c r="D835" s="7" t="str">
        <f>VLOOKUP(C835,'5-Genre Codes'!$A$1:$B$11,2,FALSE)</f>
        <v>Contemporary Fiction</v>
      </c>
      <c r="E835" s="8">
        <v>2010</v>
      </c>
      <c r="F835" s="6">
        <v>17875</v>
      </c>
      <c r="G835" s="6" t="str">
        <f>VLOOKUP(F835,'4-Actor Codes'!$A$1:$B$622,2,FALSE)</f>
        <v>Scott Porter</v>
      </c>
      <c r="H835" s="8" t="s">
        <v>10</v>
      </c>
      <c r="I835" s="9">
        <v>80014842</v>
      </c>
      <c r="J835" s="10">
        <v>62018667</v>
      </c>
      <c r="L835" s="10">
        <v>25000000</v>
      </c>
      <c r="M835" s="13"/>
      <c r="N835" s="13"/>
      <c r="O835" s="13"/>
      <c r="P835" s="13"/>
    </row>
    <row r="836" spans="1:16" ht="31" x14ac:dyDescent="0.35">
      <c r="A836" s="5">
        <v>835</v>
      </c>
      <c r="B836" s="6" t="s">
        <v>840</v>
      </c>
      <c r="C836" s="7">
        <v>20</v>
      </c>
      <c r="D836" s="7" t="str">
        <f>VLOOKUP(C836,'5-Genre Codes'!$A$1:$B$11,2,FALSE)</f>
        <v>Dramatization</v>
      </c>
      <c r="E836" s="8">
        <v>1956</v>
      </c>
      <c r="F836" s="6">
        <v>11320</v>
      </c>
      <c r="G836" s="6" t="str">
        <f>VLOOKUP(F836,'4-Actor Codes'!$A$1:$B$622,2,FALSE)</f>
        <v>Charlton Heston</v>
      </c>
      <c r="H836" s="8" t="s">
        <v>10</v>
      </c>
      <c r="I836" s="9">
        <v>80000000</v>
      </c>
      <c r="J836" s="10">
        <v>141020000</v>
      </c>
      <c r="L836" s="10">
        <v>0</v>
      </c>
      <c r="M836" s="13"/>
      <c r="N836" s="13"/>
      <c r="O836" s="13"/>
      <c r="P836" s="13"/>
    </row>
    <row r="837" spans="1:16" ht="31" x14ac:dyDescent="0.35">
      <c r="A837" s="5">
        <v>836</v>
      </c>
      <c r="B837" s="6" t="s">
        <v>841</v>
      </c>
      <c r="C837" s="7">
        <v>10</v>
      </c>
      <c r="D837" s="7" t="str">
        <f>VLOOKUP(C837,'5-Genre Codes'!$A$1:$B$11,2,FALSE)</f>
        <v>Contemporary Fiction</v>
      </c>
      <c r="E837" s="8">
        <v>2009</v>
      </c>
      <c r="F837" s="6">
        <v>11695</v>
      </c>
      <c r="G837" s="6" t="str">
        <f>VLOOKUP(F837,'4-Actor Codes'!$A$1:$B$622,2,FALSE)</f>
        <v>D.G. Maloney</v>
      </c>
      <c r="H837" s="8" t="s">
        <v>10</v>
      </c>
      <c r="I837" s="9">
        <v>79957634</v>
      </c>
      <c r="J837" s="10">
        <v>106492683</v>
      </c>
      <c r="L837" s="10">
        <v>50000000</v>
      </c>
      <c r="M837" s="13"/>
      <c r="N837" s="13"/>
      <c r="O837" s="13"/>
      <c r="P837" s="13"/>
    </row>
    <row r="838" spans="1:16" ht="31" x14ac:dyDescent="0.35">
      <c r="A838" s="5">
        <v>837</v>
      </c>
      <c r="B838" s="6" t="s">
        <v>842</v>
      </c>
      <c r="C838" s="7">
        <v>10</v>
      </c>
      <c r="D838" s="7" t="str">
        <f>VLOOKUP(C838,'5-Genre Codes'!$A$1:$B$11,2,FALSE)</f>
        <v>Contemporary Fiction</v>
      </c>
      <c r="E838" s="8">
        <v>2011</v>
      </c>
      <c r="F838" s="6">
        <v>14050</v>
      </c>
      <c r="G838" s="6" t="str">
        <f>VLOOKUP(F838,'4-Actor Codes'!$A$1:$B$622,2,FALSE)</f>
        <v>Jeremy Irvine</v>
      </c>
      <c r="H838" s="8" t="s">
        <v>10</v>
      </c>
      <c r="I838" s="9">
        <v>79883359</v>
      </c>
      <c r="J838" s="10">
        <v>76932170</v>
      </c>
      <c r="L838" s="10">
        <v>70000000</v>
      </c>
      <c r="M838" s="13"/>
      <c r="N838" s="13"/>
      <c r="O838" s="13"/>
      <c r="P838" s="13"/>
    </row>
    <row r="839" spans="1:16" ht="31" x14ac:dyDescent="0.35">
      <c r="A839" s="5">
        <v>838</v>
      </c>
      <c r="B839" s="6" t="s">
        <v>843</v>
      </c>
      <c r="C839" s="7">
        <v>40</v>
      </c>
      <c r="D839" s="7" t="str">
        <f>VLOOKUP(C839,'5-Genre Codes'!$A$1:$B$11,2,FALSE)</f>
        <v>Fantasy</v>
      </c>
      <c r="E839" s="8">
        <v>2011</v>
      </c>
      <c r="F839" s="6">
        <v>14350</v>
      </c>
      <c r="G839" s="6" t="str">
        <f>VLOOKUP(F839,'4-Actor Codes'!$A$1:$B$622,2,FALSE)</f>
        <v>Johnny Depp</v>
      </c>
      <c r="H839" s="8" t="s">
        <v>10</v>
      </c>
      <c r="I839" s="9">
        <v>79727149</v>
      </c>
      <c r="J839" s="10">
        <v>156800000</v>
      </c>
      <c r="L839" s="10">
        <v>150000000</v>
      </c>
      <c r="M839" s="13"/>
      <c r="N839" s="13"/>
      <c r="O839" s="13"/>
      <c r="P839" s="13"/>
    </row>
    <row r="840" spans="1:16" ht="31" x14ac:dyDescent="0.35">
      <c r="A840" s="5">
        <v>839</v>
      </c>
      <c r="B840" s="6" t="s">
        <v>844</v>
      </c>
      <c r="C840" s="7">
        <v>80</v>
      </c>
      <c r="D840" s="7" t="str">
        <f>VLOOKUP(C840,'5-Genre Codes'!$A$1:$B$11,2,FALSE)</f>
        <v>Science Fiction</v>
      </c>
      <c r="E840" s="8">
        <v>1974</v>
      </c>
      <c r="F840" s="6">
        <v>17170</v>
      </c>
      <c r="G840" s="6" t="str">
        <f>VLOOKUP(F840,'4-Actor Codes'!$A$1:$B$622,2,FALSE)</f>
        <v>Richard Roundtree</v>
      </c>
      <c r="H840" s="8" t="s">
        <v>10</v>
      </c>
      <c r="I840" s="9">
        <v>79700000</v>
      </c>
      <c r="J840" s="10">
        <v>76625826</v>
      </c>
      <c r="L840" s="10">
        <v>80000000</v>
      </c>
      <c r="M840" s="13"/>
      <c r="N840" s="13"/>
      <c r="O840" s="13"/>
      <c r="P840" s="13"/>
    </row>
    <row r="841" spans="1:16" ht="31" x14ac:dyDescent="0.35">
      <c r="A841" s="5">
        <v>840</v>
      </c>
      <c r="B841" s="6" t="s">
        <v>845</v>
      </c>
      <c r="C841" s="7">
        <v>10</v>
      </c>
      <c r="D841" s="7" t="str">
        <f>VLOOKUP(C841,'5-Genre Codes'!$A$1:$B$11,2,FALSE)</f>
        <v>Contemporary Fiction</v>
      </c>
      <c r="E841" s="8">
        <v>2009</v>
      </c>
      <c r="F841" s="6">
        <v>10585</v>
      </c>
      <c r="G841" s="6" t="str">
        <f>VLOOKUP(F841,'4-Actor Codes'!$A$1:$B$622,2,FALSE)</f>
        <v>Barry Bostwick</v>
      </c>
      <c r="H841" s="8" t="s">
        <v>10</v>
      </c>
      <c r="I841" s="9">
        <v>79559647</v>
      </c>
      <c r="J841" s="10">
        <v>89597017</v>
      </c>
      <c r="L841" s="10">
        <v>30000000</v>
      </c>
      <c r="M841" s="13"/>
      <c r="N841" s="13"/>
      <c r="O841" s="13"/>
      <c r="P841" s="13"/>
    </row>
    <row r="842" spans="1:16" ht="31" x14ac:dyDescent="0.35">
      <c r="A842" s="5">
        <v>841</v>
      </c>
      <c r="B842" s="6" t="s">
        <v>846</v>
      </c>
      <c r="C842" s="7">
        <v>80</v>
      </c>
      <c r="D842" s="7" t="str">
        <f>VLOOKUP(C842,'5-Genre Codes'!$A$1:$B$11,2,FALSE)</f>
        <v>Science Fiction</v>
      </c>
      <c r="E842" s="8">
        <v>2008</v>
      </c>
      <c r="F842" s="6">
        <v>10990</v>
      </c>
      <c r="G842" s="6" t="str">
        <f>VLOOKUP(F842,'4-Actor Codes'!$A$1:$B$622,2,FALSE)</f>
        <v>Brandon T. Jackson</v>
      </c>
      <c r="H842" s="8" t="s">
        <v>10</v>
      </c>
      <c r="I842" s="9">
        <v>79366978</v>
      </c>
      <c r="J842" s="10">
        <v>153700000</v>
      </c>
      <c r="L842" s="10">
        <v>80000000</v>
      </c>
      <c r="M842" s="13"/>
      <c r="N842" s="13"/>
      <c r="O842" s="13"/>
      <c r="P842" s="13"/>
    </row>
    <row r="843" spans="1:16" ht="31" x14ac:dyDescent="0.35">
      <c r="A843" s="5">
        <v>842</v>
      </c>
      <c r="B843" s="6" t="s">
        <v>847</v>
      </c>
      <c r="C843" s="7">
        <v>80</v>
      </c>
      <c r="D843" s="7" t="str">
        <f>VLOOKUP(C843,'5-Genre Codes'!$A$1:$B$11,2,FALSE)</f>
        <v>Science Fiction</v>
      </c>
      <c r="E843" s="8">
        <v>2010</v>
      </c>
      <c r="F843" s="6">
        <v>10945</v>
      </c>
      <c r="G843" s="6" t="str">
        <f>VLOOKUP(F843,'4-Actor Codes'!$A$1:$B$622,2,FALSE)</f>
        <v>Bradley Cooper</v>
      </c>
      <c r="H843" s="8" t="s">
        <v>10</v>
      </c>
      <c r="I843" s="9">
        <v>79249455</v>
      </c>
      <c r="J843" s="10">
        <v>76315464</v>
      </c>
      <c r="L843" s="10">
        <v>27000000</v>
      </c>
      <c r="M843" s="13"/>
      <c r="N843" s="13"/>
      <c r="O843" s="13"/>
      <c r="P843" s="13"/>
    </row>
    <row r="844" spans="1:16" ht="31" x14ac:dyDescent="0.35">
      <c r="A844" s="5">
        <v>843</v>
      </c>
      <c r="B844" s="6" t="s">
        <v>848</v>
      </c>
      <c r="C844" s="7">
        <v>50</v>
      </c>
      <c r="D844" s="7" t="str">
        <f>VLOOKUP(C844,'5-Genre Codes'!$A$1:$B$11,2,FALSE)</f>
        <v>Historical Fiction</v>
      </c>
      <c r="E844" s="8">
        <v>1985</v>
      </c>
      <c r="F844" s="6">
        <v>15910</v>
      </c>
      <c r="G844" s="6" t="str">
        <f>VLOOKUP(F844,'4-Actor Codes'!$A$1:$B$622,2,FALSE)</f>
        <v>Meryl Streep</v>
      </c>
      <c r="H844" s="8" t="s">
        <v>10</v>
      </c>
      <c r="I844" s="9">
        <v>79096868</v>
      </c>
      <c r="J844" s="10">
        <v>179113992</v>
      </c>
      <c r="K844" s="11" t="s">
        <v>1010</v>
      </c>
      <c r="L844" s="10">
        <v>31000000</v>
      </c>
      <c r="M844" s="13"/>
      <c r="N844" s="13"/>
      <c r="O844" s="13"/>
      <c r="P844" s="13"/>
    </row>
    <row r="845" spans="1:16" ht="31" x14ac:dyDescent="0.35">
      <c r="A845" s="5">
        <v>844</v>
      </c>
      <c r="B845" s="6" t="s">
        <v>849</v>
      </c>
      <c r="C845" s="7">
        <v>10</v>
      </c>
      <c r="D845" s="7" t="str">
        <f>VLOOKUP(C845,'5-Genre Codes'!$A$1:$B$11,2,FALSE)</f>
        <v>Contemporary Fiction</v>
      </c>
      <c r="E845" s="8">
        <v>1991</v>
      </c>
      <c r="F845" s="6">
        <v>12760</v>
      </c>
      <c r="G845" s="6" t="str">
        <f>VLOOKUP(F845,'4-Actor Codes'!$A$1:$B$622,2,FALSE)</f>
        <v>Fred Dalton Thompson</v>
      </c>
      <c r="H845" s="8" t="s">
        <v>10</v>
      </c>
      <c r="I845" s="9">
        <v>79091969</v>
      </c>
      <c r="J845" s="10">
        <v>103200000</v>
      </c>
      <c r="L845" s="10">
        <v>35000000</v>
      </c>
      <c r="M845" s="13"/>
      <c r="N845" s="13"/>
      <c r="O845" s="13"/>
      <c r="P845" s="13"/>
    </row>
    <row r="846" spans="1:16" x14ac:dyDescent="0.35">
      <c r="A846" s="5">
        <v>845</v>
      </c>
      <c r="B846" s="6" t="s">
        <v>850</v>
      </c>
      <c r="C846" s="7">
        <v>50</v>
      </c>
      <c r="D846" s="7" t="str">
        <f>VLOOKUP(C846,'5-Genre Codes'!$A$1:$B$11,2,FALSE)</f>
        <v>Historical Fiction</v>
      </c>
      <c r="E846" s="8">
        <v>1991</v>
      </c>
      <c r="F846" s="6">
        <v>16435</v>
      </c>
      <c r="G846" s="6" t="str">
        <f>VLOOKUP(F846,'4-Actor Codes'!$A$1:$B$622,2,FALSE)</f>
        <v>Nick Searcy</v>
      </c>
      <c r="H846" s="8" t="s">
        <v>10</v>
      </c>
      <c r="I846" s="9">
        <v>78874364</v>
      </c>
      <c r="J846" s="10">
        <v>76000000</v>
      </c>
      <c r="L846" s="10">
        <v>0</v>
      </c>
      <c r="M846" s="13"/>
      <c r="N846" s="13"/>
      <c r="O846" s="13"/>
      <c r="P846" s="13"/>
    </row>
    <row r="847" spans="1:16" ht="31" x14ac:dyDescent="0.35">
      <c r="A847" s="5">
        <v>846</v>
      </c>
      <c r="B847" s="6" t="s">
        <v>851</v>
      </c>
      <c r="C847" s="7">
        <v>50</v>
      </c>
      <c r="D847" s="7" t="str">
        <f>VLOOKUP(C847,'5-Genre Codes'!$A$1:$B$11,2,FALSE)</f>
        <v>Historical Fiction</v>
      </c>
      <c r="E847" s="8">
        <v>1979</v>
      </c>
      <c r="F847" s="6">
        <v>13480</v>
      </c>
      <c r="G847" s="6" t="str">
        <f>VLOOKUP(F847,'4-Actor Codes'!$A$1:$B$622,2,FALSE)</f>
        <v>Jack Thibeau</v>
      </c>
      <c r="H847" s="8" t="s">
        <v>10</v>
      </c>
      <c r="I847" s="9">
        <v>78800000</v>
      </c>
      <c r="J847" s="10">
        <v>154130000</v>
      </c>
      <c r="L847" s="10">
        <v>0</v>
      </c>
      <c r="M847" s="13"/>
      <c r="N847" s="13"/>
      <c r="O847" s="13"/>
      <c r="P847" s="13"/>
    </row>
    <row r="848" spans="1:16" ht="31" x14ac:dyDescent="0.35">
      <c r="A848" s="5">
        <v>847</v>
      </c>
      <c r="B848" s="6" t="s">
        <v>852</v>
      </c>
      <c r="C848" s="7">
        <v>10</v>
      </c>
      <c r="D848" s="7" t="str">
        <f>VLOOKUP(C848,'5-Genre Codes'!$A$1:$B$11,2,FALSE)</f>
        <v>Contemporary Fiction</v>
      </c>
      <c r="E848" s="8">
        <v>1990</v>
      </c>
      <c r="F848" s="6">
        <v>16825</v>
      </c>
      <c r="G848" s="6" t="str">
        <f>VLOOKUP(F848,'4-Actor Codes'!$A$1:$B$622,2,FALSE)</f>
        <v>Peter Appel</v>
      </c>
      <c r="H848" s="8" t="s">
        <v>10</v>
      </c>
      <c r="I848" s="9">
        <v>78771268</v>
      </c>
      <c r="J848" s="10">
        <v>75000000</v>
      </c>
      <c r="L848" s="10">
        <v>60000000</v>
      </c>
      <c r="M848" s="13"/>
      <c r="N848" s="13"/>
      <c r="O848" s="13"/>
      <c r="P848" s="13"/>
    </row>
    <row r="849" spans="1:16" ht="31" x14ac:dyDescent="0.35">
      <c r="A849" s="5">
        <v>848</v>
      </c>
      <c r="B849" s="6" t="s">
        <v>853</v>
      </c>
      <c r="C849" s="7">
        <v>80</v>
      </c>
      <c r="D849" s="7" t="str">
        <f>VLOOKUP(C849,'5-Genre Codes'!$A$1:$B$11,2,FALSE)</f>
        <v>Science Fiction</v>
      </c>
      <c r="E849" s="8">
        <v>2013</v>
      </c>
      <c r="F849" s="6">
        <v>10015</v>
      </c>
      <c r="G849" s="6" t="str">
        <f>VLOOKUP(F849,'4-Actor Codes'!$A$1:$B$622,2,FALSE)</f>
        <v>Adam Sandler</v>
      </c>
      <c r="H849" s="8" t="s">
        <v>10</v>
      </c>
      <c r="I849" s="9">
        <v>78747585</v>
      </c>
      <c r="J849" s="10">
        <v>164819305</v>
      </c>
      <c r="L849" s="10">
        <v>90000000</v>
      </c>
      <c r="M849" s="13"/>
      <c r="N849" s="13"/>
      <c r="O849" s="13"/>
      <c r="P849" s="13"/>
    </row>
    <row r="850" spans="1:16" ht="31" x14ac:dyDescent="0.35">
      <c r="A850" s="5">
        <v>849</v>
      </c>
      <c r="B850" s="6" t="s">
        <v>854</v>
      </c>
      <c r="C850" s="7">
        <v>40</v>
      </c>
      <c r="D850" s="7" t="str">
        <f>VLOOKUP(C850,'5-Genre Codes'!$A$1:$B$11,2,FALSE)</f>
        <v>Fantasy</v>
      </c>
      <c r="E850" s="8">
        <v>1998</v>
      </c>
      <c r="F850" s="6">
        <v>17395</v>
      </c>
      <c r="G850" s="6" t="str">
        <f>VLOOKUP(F850,'4-Actor Codes'!$A$1:$B$622,2,FALSE)</f>
        <v>Robin Bartlett</v>
      </c>
      <c r="H850" s="8" t="s">
        <v>10</v>
      </c>
      <c r="I850" s="9">
        <v>78745923</v>
      </c>
      <c r="J850" s="10">
        <v>120000000</v>
      </c>
      <c r="L850" s="10">
        <v>55000000</v>
      </c>
      <c r="M850" s="13"/>
      <c r="N850" s="13"/>
      <c r="O850" s="13"/>
      <c r="P850" s="13"/>
    </row>
    <row r="851" spans="1:16" ht="31" x14ac:dyDescent="0.35">
      <c r="A851" s="5">
        <v>850</v>
      </c>
      <c r="B851" s="6" t="s">
        <v>855</v>
      </c>
      <c r="C851" s="7">
        <v>50</v>
      </c>
      <c r="D851" s="7" t="str">
        <f>VLOOKUP(C851,'5-Genre Codes'!$A$1:$B$11,2,FALSE)</f>
        <v>Historical Fiction</v>
      </c>
      <c r="E851" s="8">
        <v>1996</v>
      </c>
      <c r="F851" s="6">
        <v>16405</v>
      </c>
      <c r="G851" s="6" t="str">
        <f>VLOOKUP(F851,'4-Actor Codes'!$A$1:$B$622,2,FALSE)</f>
        <v>Naveen Andrews</v>
      </c>
      <c r="H851" s="8" t="s">
        <v>10</v>
      </c>
      <c r="I851" s="9">
        <v>78651430</v>
      </c>
      <c r="J851" s="10">
        <v>153000000</v>
      </c>
      <c r="K851" s="11" t="s">
        <v>1010</v>
      </c>
      <c r="L851" s="10">
        <v>35000000</v>
      </c>
      <c r="M851" s="13"/>
      <c r="N851" s="13"/>
      <c r="O851" s="13"/>
      <c r="P851" s="13"/>
    </row>
    <row r="852" spans="1:16" ht="31" x14ac:dyDescent="0.35">
      <c r="A852" s="5">
        <v>851</v>
      </c>
      <c r="B852" s="6" t="s">
        <v>856</v>
      </c>
      <c r="C852" s="7">
        <v>80</v>
      </c>
      <c r="D852" s="7" t="str">
        <f>VLOOKUP(C852,'5-Genre Codes'!$A$1:$B$11,2,FALSE)</f>
        <v>Science Fiction</v>
      </c>
      <c r="E852" s="8">
        <v>1982</v>
      </c>
      <c r="F852" s="6">
        <v>19225</v>
      </c>
      <c r="G852" s="6" t="str">
        <f>VLOOKUP(F852,'4-Actor Codes'!$A$1:$B$622,2,FALSE)</f>
        <v>William Shatner</v>
      </c>
      <c r="H852" s="8" t="s">
        <v>13</v>
      </c>
      <c r="I852" s="9">
        <v>78633541</v>
      </c>
      <c r="J852" s="10">
        <v>127950427</v>
      </c>
      <c r="L852" s="10">
        <v>140000000</v>
      </c>
      <c r="M852" s="13"/>
      <c r="N852" s="13"/>
      <c r="O852" s="13"/>
      <c r="P852" s="13"/>
    </row>
    <row r="853" spans="1:16" ht="31" x14ac:dyDescent="0.35">
      <c r="A853" s="5">
        <v>852</v>
      </c>
      <c r="B853" s="6" t="s">
        <v>857</v>
      </c>
      <c r="C853" s="7">
        <v>80</v>
      </c>
      <c r="D853" s="7" t="str">
        <f>VLOOKUP(C853,'5-Genre Codes'!$A$1:$B$11,2,FALSE)</f>
        <v>Science Fiction</v>
      </c>
      <c r="E853" s="8">
        <v>2001</v>
      </c>
      <c r="F853" s="6">
        <v>15925</v>
      </c>
      <c r="G853" s="6" t="str">
        <f>VLOOKUP(F853,'4-Actor Codes'!$A$1:$B$622,2,FALSE)</f>
        <v>Michael Berresse</v>
      </c>
      <c r="H853" s="8" t="s">
        <v>10</v>
      </c>
      <c r="I853" s="9">
        <v>78616689</v>
      </c>
      <c r="J853" s="10">
        <v>157283311</v>
      </c>
      <c r="L853" s="10">
        <v>90000000</v>
      </c>
      <c r="M853" s="13"/>
      <c r="N853" s="13"/>
      <c r="O853" s="13"/>
      <c r="P853" s="13"/>
    </row>
    <row r="854" spans="1:16" ht="31" x14ac:dyDescent="0.35">
      <c r="A854" s="5">
        <v>853</v>
      </c>
      <c r="B854" s="6" t="s">
        <v>858</v>
      </c>
      <c r="C854" s="7">
        <v>10</v>
      </c>
      <c r="D854" s="7" t="str">
        <f>VLOOKUP(C854,'5-Genre Codes'!$A$1:$B$11,2,FALSE)</f>
        <v>Contemporary Fiction</v>
      </c>
      <c r="E854" s="8">
        <v>1988</v>
      </c>
      <c r="F854" s="6">
        <v>15340</v>
      </c>
      <c r="G854" s="6" t="str">
        <f>VLOOKUP(F854,'4-Actor Codes'!$A$1:$B$622,2,FALSE)</f>
        <v>Lisa Banes</v>
      </c>
      <c r="H854" s="8" t="s">
        <v>10</v>
      </c>
      <c r="I854" s="9">
        <v>78222753</v>
      </c>
      <c r="J854" s="10">
        <v>91253793</v>
      </c>
      <c r="L854" s="10">
        <v>25000000</v>
      </c>
      <c r="M854" s="13"/>
      <c r="N854" s="13"/>
      <c r="O854" s="13"/>
      <c r="P854" s="13"/>
    </row>
    <row r="855" spans="1:16" ht="31" x14ac:dyDescent="0.35">
      <c r="A855" s="5">
        <v>854</v>
      </c>
      <c r="B855" s="6" t="s">
        <v>859</v>
      </c>
      <c r="C855" s="7">
        <v>40</v>
      </c>
      <c r="D855" s="7" t="str">
        <f>VLOOKUP(C855,'5-Genre Codes'!$A$1:$B$11,2,FALSE)</f>
        <v>Fantasy</v>
      </c>
      <c r="E855" s="8">
        <v>1992</v>
      </c>
      <c r="F855" s="6">
        <v>10750</v>
      </c>
      <c r="G855" s="6" t="str">
        <f>VLOOKUP(F855,'4-Actor Codes'!$A$1:$B$622,2,FALSE)</f>
        <v>Bill Campbell</v>
      </c>
      <c r="H855" s="8" t="s">
        <v>10</v>
      </c>
      <c r="I855" s="9">
        <v>78142084</v>
      </c>
      <c r="J855" s="10">
        <v>133339902</v>
      </c>
      <c r="L855" s="10">
        <v>40000000</v>
      </c>
      <c r="M855" s="13"/>
      <c r="N855" s="13"/>
      <c r="O855" s="13"/>
      <c r="P855" s="13"/>
    </row>
    <row r="856" spans="1:16" x14ac:dyDescent="0.35">
      <c r="A856" s="5">
        <v>855</v>
      </c>
      <c r="B856" s="6" t="s">
        <v>860</v>
      </c>
      <c r="C856" s="7">
        <v>20</v>
      </c>
      <c r="D856" s="7" t="str">
        <f>VLOOKUP(C856,'5-Genre Codes'!$A$1:$B$11,2,FALSE)</f>
        <v>Dramatization</v>
      </c>
      <c r="E856" s="8">
        <v>2002</v>
      </c>
      <c r="F856" s="6">
        <v>15865</v>
      </c>
      <c r="G856" s="6" t="str">
        <f>VLOOKUP(F856,'4-Actor Codes'!$A$1:$B$622,2,FALSE)</f>
        <v>Mel Gibson</v>
      </c>
      <c r="H856" s="8" t="s">
        <v>10</v>
      </c>
      <c r="I856" s="9">
        <v>78120196</v>
      </c>
      <c r="J856" s="10">
        <v>61400000</v>
      </c>
      <c r="L856" s="10">
        <v>20000000</v>
      </c>
      <c r="M856" s="13"/>
      <c r="N856" s="13"/>
      <c r="O856" s="13"/>
      <c r="P856" s="13"/>
    </row>
    <row r="857" spans="1:16" ht="31" x14ac:dyDescent="0.35">
      <c r="A857" s="5">
        <v>856</v>
      </c>
      <c r="B857" s="6" t="s">
        <v>861</v>
      </c>
      <c r="C857" s="7">
        <v>10</v>
      </c>
      <c r="D857" s="7" t="str">
        <f>VLOOKUP(C857,'5-Genre Codes'!$A$1:$B$11,2,FALSE)</f>
        <v>Contemporary Fiction</v>
      </c>
      <c r="E857" s="8">
        <v>2011</v>
      </c>
      <c r="F857" s="6">
        <v>10660</v>
      </c>
      <c r="G857" s="6" t="str">
        <f>VLOOKUP(F857,'4-Actor Codes'!$A$1:$B$622,2,FALSE)</f>
        <v>Ben Stiller</v>
      </c>
      <c r="H857" s="8" t="s">
        <v>10</v>
      </c>
      <c r="I857" s="9">
        <v>78046570</v>
      </c>
      <c r="J857" s="10">
        <v>75441402</v>
      </c>
      <c r="L857" s="10">
        <v>85000000</v>
      </c>
      <c r="M857" s="13"/>
      <c r="N857" s="13"/>
      <c r="O857" s="13"/>
      <c r="P857" s="13"/>
    </row>
    <row r="858" spans="1:16" ht="31" x14ac:dyDescent="0.35">
      <c r="A858" s="5">
        <v>857</v>
      </c>
      <c r="B858" s="6" t="s">
        <v>862</v>
      </c>
      <c r="C858" s="7">
        <v>50</v>
      </c>
      <c r="D858" s="7" t="str">
        <f>VLOOKUP(C858,'5-Genre Codes'!$A$1:$B$11,2,FALSE)</f>
        <v>Historical Fiction</v>
      </c>
      <c r="E858" s="8">
        <v>2013</v>
      </c>
      <c r="F858" s="6">
        <v>12925</v>
      </c>
      <c r="G858" s="6" t="str">
        <f>VLOOKUP(F858,'4-Actor Codes'!$A$1:$B$622,2,FALSE)</f>
        <v>George Clooney</v>
      </c>
      <c r="H858" s="8" t="s">
        <v>10</v>
      </c>
      <c r="I858" s="9">
        <v>78031620</v>
      </c>
      <c r="J858" s="10">
        <v>80671128</v>
      </c>
      <c r="L858" s="10">
        <v>70000000</v>
      </c>
      <c r="M858" s="13"/>
      <c r="N858" s="13"/>
      <c r="O858" s="13"/>
      <c r="P858" s="13"/>
    </row>
    <row r="859" spans="1:16" ht="31" x14ac:dyDescent="0.35">
      <c r="A859" s="5">
        <v>858</v>
      </c>
      <c r="B859" s="6" t="s">
        <v>863</v>
      </c>
      <c r="C859" s="7">
        <v>10</v>
      </c>
      <c r="D859" s="7" t="str">
        <f>VLOOKUP(C859,'5-Genre Codes'!$A$1:$B$11,2,FALSE)</f>
        <v>Contemporary Fiction</v>
      </c>
      <c r="E859" s="8">
        <v>2004</v>
      </c>
      <c r="F859" s="6">
        <v>12115</v>
      </c>
      <c r="G859" s="6" t="str">
        <f>VLOOKUP(F859,'4-Actor Codes'!$A$1:$B$622,2,FALSE)</f>
        <v>Denzel Washington</v>
      </c>
      <c r="H859" s="8" t="s">
        <v>10</v>
      </c>
      <c r="I859" s="9">
        <v>77906816</v>
      </c>
      <c r="J859" s="10">
        <v>53061763</v>
      </c>
      <c r="L859" s="10">
        <v>60000000</v>
      </c>
      <c r="M859" s="13"/>
      <c r="N859" s="13"/>
      <c r="O859" s="13"/>
      <c r="P859" s="13"/>
    </row>
    <row r="860" spans="1:16" ht="31" x14ac:dyDescent="0.35">
      <c r="A860" s="5">
        <v>859</v>
      </c>
      <c r="B860" s="6" t="s">
        <v>864</v>
      </c>
      <c r="C860" s="7">
        <v>10</v>
      </c>
      <c r="D860" s="7" t="str">
        <f>VLOOKUP(C860,'5-Genre Codes'!$A$1:$B$11,2,FALSE)</f>
        <v>Contemporary Fiction</v>
      </c>
      <c r="E860" s="8">
        <v>1991</v>
      </c>
      <c r="F860" s="6">
        <v>13435</v>
      </c>
      <c r="G860" s="6" t="str">
        <f>VLOOKUP(F860,'4-Actor Codes'!$A$1:$B$622,2,FALSE)</f>
        <v>Jack McGee</v>
      </c>
      <c r="H860" s="8" t="s">
        <v>10</v>
      </c>
      <c r="I860" s="9">
        <v>77868585</v>
      </c>
      <c r="J860" s="10">
        <v>74500000</v>
      </c>
      <c r="L860" s="10">
        <v>0</v>
      </c>
      <c r="M860" s="13"/>
      <c r="N860" s="13"/>
      <c r="O860" s="13"/>
      <c r="P860" s="13"/>
    </row>
    <row r="861" spans="1:16" ht="31" x14ac:dyDescent="0.35">
      <c r="A861" s="5">
        <v>860</v>
      </c>
      <c r="B861" s="6" t="s">
        <v>865</v>
      </c>
      <c r="C861" s="7">
        <v>50</v>
      </c>
      <c r="D861" s="7" t="str">
        <f>VLOOKUP(C861,'5-Genre Codes'!$A$1:$B$11,2,FALSE)</f>
        <v>Historical Fiction</v>
      </c>
      <c r="E861" s="8">
        <v>2002</v>
      </c>
      <c r="F861" s="6">
        <v>12670</v>
      </c>
      <c r="G861" s="6" t="str">
        <f>VLOOKUP(F861,'4-Actor Codes'!$A$1:$B$622,2,FALSE)</f>
        <v>Ford Keirnan</v>
      </c>
      <c r="H861" s="8" t="s">
        <v>10</v>
      </c>
      <c r="I861" s="9">
        <v>77730500</v>
      </c>
      <c r="J861" s="10">
        <v>105394121</v>
      </c>
      <c r="L861" s="10">
        <v>97000000</v>
      </c>
      <c r="M861" s="13"/>
      <c r="N861" s="13"/>
      <c r="O861" s="13"/>
      <c r="P861" s="13"/>
    </row>
    <row r="862" spans="1:16" ht="31" x14ac:dyDescent="0.35">
      <c r="A862" s="5">
        <v>861</v>
      </c>
      <c r="B862" s="6" t="s">
        <v>866</v>
      </c>
      <c r="C862" s="7">
        <v>10</v>
      </c>
      <c r="D862" s="7" t="str">
        <f>VLOOKUP(C862,'5-Genre Codes'!$A$1:$B$11,2,FALSE)</f>
        <v>Contemporary Fiction</v>
      </c>
      <c r="E862" s="8">
        <v>1993</v>
      </c>
      <c r="F862" s="6">
        <v>13810</v>
      </c>
      <c r="G862" s="6" t="str">
        <f>VLOOKUP(F862,'4-Actor Codes'!$A$1:$B$622,2,FALSE)</f>
        <v>Jason James Richter</v>
      </c>
      <c r="H862" s="8" t="s">
        <v>10</v>
      </c>
      <c r="I862" s="9">
        <v>77698625</v>
      </c>
      <c r="J862" s="10">
        <v>76000000</v>
      </c>
      <c r="L862" s="10">
        <v>0</v>
      </c>
      <c r="M862" s="13"/>
      <c r="N862" s="13"/>
      <c r="O862" s="13"/>
      <c r="P862" s="13"/>
    </row>
    <row r="863" spans="1:16" ht="31" x14ac:dyDescent="0.35">
      <c r="A863" s="5">
        <v>862</v>
      </c>
      <c r="B863" s="6" t="s">
        <v>867</v>
      </c>
      <c r="C863" s="7">
        <v>10</v>
      </c>
      <c r="D863" s="7" t="str">
        <f>VLOOKUP(C863,'5-Genre Codes'!$A$1:$B$11,2,FALSE)</f>
        <v>Contemporary Fiction</v>
      </c>
      <c r="E863" s="8">
        <v>2011</v>
      </c>
      <c r="F863" s="6">
        <v>18880</v>
      </c>
      <c r="G863" s="6" t="str">
        <f>VLOOKUP(F863,'4-Actor Codes'!$A$1:$B$622,2,FALSE)</f>
        <v>Tony Curran</v>
      </c>
      <c r="H863" s="8" t="s">
        <v>10</v>
      </c>
      <c r="I863" s="9">
        <v>77591831</v>
      </c>
      <c r="J863" s="10">
        <v>100019072</v>
      </c>
      <c r="L863" s="10">
        <v>110000000</v>
      </c>
      <c r="M863" s="13"/>
      <c r="N863" s="13"/>
      <c r="O863" s="13"/>
      <c r="P863" s="13"/>
    </row>
    <row r="864" spans="1:16" ht="31" x14ac:dyDescent="0.35">
      <c r="A864" s="5">
        <v>863</v>
      </c>
      <c r="B864" s="6" t="s">
        <v>868</v>
      </c>
      <c r="C864" s="7">
        <v>10</v>
      </c>
      <c r="D864" s="7" t="str">
        <f>VLOOKUP(C864,'5-Genre Codes'!$A$1:$B$11,2,FALSE)</f>
        <v>Contemporary Fiction</v>
      </c>
      <c r="E864" s="8">
        <v>1989</v>
      </c>
      <c r="F864" s="6">
        <v>17680</v>
      </c>
      <c r="G864" s="6" t="str">
        <f>VLOOKUP(F864,'4-Actor Codes'!$A$1:$B$622,2,FALSE)</f>
        <v>Sally Field</v>
      </c>
      <c r="H864" s="8" t="s">
        <v>10</v>
      </c>
      <c r="I864" s="9">
        <v>77568541</v>
      </c>
      <c r="J864" s="10">
        <v>82000000</v>
      </c>
      <c r="L864" s="10">
        <v>60000000</v>
      </c>
      <c r="M864" s="13"/>
      <c r="N864" s="13"/>
      <c r="O864" s="13"/>
      <c r="P864" s="13"/>
    </row>
    <row r="865" spans="1:16" ht="31" x14ac:dyDescent="0.35">
      <c r="A865" s="5">
        <v>864</v>
      </c>
      <c r="B865" s="6" t="s">
        <v>869</v>
      </c>
      <c r="C865" s="7">
        <v>40</v>
      </c>
      <c r="D865" s="7" t="str">
        <f>VLOOKUP(C865,'5-Genre Codes'!$A$1:$B$11,2,FALSE)</f>
        <v>Fantasy</v>
      </c>
      <c r="E865" s="8">
        <v>1986</v>
      </c>
      <c r="F865" s="6">
        <v>12400</v>
      </c>
      <c r="G865" s="6" t="str">
        <f>VLOOKUP(F865,'4-Actor Codes'!$A$1:$B$622,2,FALSE)</f>
        <v>Eddie Murphy</v>
      </c>
      <c r="H865" s="8" t="s">
        <v>10</v>
      </c>
      <c r="I865" s="9">
        <v>77559863</v>
      </c>
      <c r="J865" s="10">
        <v>133533589</v>
      </c>
      <c r="L865" s="10">
        <v>7000000</v>
      </c>
      <c r="M865" s="13"/>
      <c r="N865" s="13"/>
      <c r="O865" s="13"/>
      <c r="P865" s="13"/>
    </row>
    <row r="866" spans="1:16" ht="31" x14ac:dyDescent="0.35">
      <c r="A866" s="5">
        <v>865</v>
      </c>
      <c r="B866" s="6" t="s">
        <v>870</v>
      </c>
      <c r="C866" s="7">
        <v>30</v>
      </c>
      <c r="D866" s="7" t="str">
        <f>VLOOKUP(C866,'5-Genre Codes'!$A$1:$B$11,2,FALSE)</f>
        <v>Factual</v>
      </c>
      <c r="E866" s="8">
        <v>2005</v>
      </c>
      <c r="F866" s="6">
        <v>16315</v>
      </c>
      <c r="G866" s="6" t="str">
        <f>VLOOKUP(F866,'4-Actor Codes'!$A$1:$B$622,2,FALSE)</f>
        <v>Morgan Freeman</v>
      </c>
      <c r="H866" s="8" t="s">
        <v>10</v>
      </c>
      <c r="I866" s="9">
        <v>77437223</v>
      </c>
      <c r="J866" s="10">
        <v>55839136</v>
      </c>
      <c r="L866" s="10">
        <v>3400000</v>
      </c>
      <c r="M866" s="13"/>
      <c r="N866" s="13"/>
      <c r="O866" s="13"/>
      <c r="P866" s="13"/>
    </row>
    <row r="867" spans="1:16" ht="31" x14ac:dyDescent="0.35">
      <c r="A867" s="5">
        <v>866</v>
      </c>
      <c r="B867" s="6" t="s">
        <v>871</v>
      </c>
      <c r="C867" s="7">
        <v>10</v>
      </c>
      <c r="D867" s="7" t="str">
        <f>VLOOKUP(C867,'5-Genre Codes'!$A$1:$B$11,2,FALSE)</f>
        <v>Contemporary Fiction</v>
      </c>
      <c r="E867" s="8">
        <v>2012</v>
      </c>
      <c r="F867" s="6">
        <v>10855</v>
      </c>
      <c r="G867" s="6" t="str">
        <f>VLOOKUP(F867,'4-Actor Codes'!$A$1:$B$622,2,FALSE)</f>
        <v>Billy Crystal</v>
      </c>
      <c r="H867" s="8" t="s">
        <v>10</v>
      </c>
      <c r="I867" s="9">
        <v>77267296</v>
      </c>
      <c r="J867" s="10">
        <v>86196168</v>
      </c>
      <c r="L867" s="10">
        <v>5000000</v>
      </c>
      <c r="M867" s="13"/>
      <c r="N867" s="13"/>
      <c r="O867" s="13"/>
      <c r="P867" s="13"/>
    </row>
    <row r="868" spans="1:16" ht="31" x14ac:dyDescent="0.35">
      <c r="A868" s="5">
        <v>867</v>
      </c>
      <c r="B868" s="6" t="s">
        <v>872</v>
      </c>
      <c r="C868" s="7">
        <v>40</v>
      </c>
      <c r="D868" s="7" t="str">
        <f>VLOOKUP(C868,'5-Genre Codes'!$A$1:$B$11,2,FALSE)</f>
        <v>Fantasy</v>
      </c>
      <c r="E868" s="8">
        <v>2009</v>
      </c>
      <c r="F868" s="6">
        <v>11230</v>
      </c>
      <c r="G868" s="6" t="str">
        <f>VLOOKUP(F868,'4-Actor Codes'!$A$1:$B$622,2,FALSE)</f>
        <v>Catherin O'Hara</v>
      </c>
      <c r="H868" s="8" t="s">
        <v>10</v>
      </c>
      <c r="I868" s="9">
        <v>77233467</v>
      </c>
      <c r="J868" s="10">
        <v>191300000</v>
      </c>
      <c r="L868" s="10">
        <v>65000000</v>
      </c>
      <c r="M868" s="13"/>
      <c r="N868" s="13"/>
      <c r="O868" s="13"/>
      <c r="P868" s="13"/>
    </row>
    <row r="869" spans="1:16" ht="31" x14ac:dyDescent="0.35">
      <c r="A869" s="5">
        <v>868</v>
      </c>
      <c r="B869" s="6" t="s">
        <v>873</v>
      </c>
      <c r="C869" s="7">
        <v>10</v>
      </c>
      <c r="D869" s="7" t="str">
        <f>VLOOKUP(C869,'5-Genre Codes'!$A$1:$B$11,2,FALSE)</f>
        <v>Contemporary Fiction</v>
      </c>
      <c r="E869" s="8">
        <v>2010</v>
      </c>
      <c r="F869" s="6">
        <v>14110</v>
      </c>
      <c r="G869" s="6" t="str">
        <f>VLOOKUP(F869,'4-Actor Codes'!$A$1:$B$622,2,FALSE)</f>
        <v>Jessica Biel</v>
      </c>
      <c r="H869" s="8" t="s">
        <v>10</v>
      </c>
      <c r="I869" s="9">
        <v>77222099</v>
      </c>
      <c r="J869" s="10">
        <v>100019072</v>
      </c>
      <c r="L869" s="10">
        <v>110000000</v>
      </c>
      <c r="M869" s="13"/>
      <c r="N869" s="13"/>
      <c r="O869" s="13"/>
      <c r="P869" s="13"/>
    </row>
    <row r="870" spans="1:16" ht="46.5" x14ac:dyDescent="0.35">
      <c r="A870" s="5">
        <v>869</v>
      </c>
      <c r="B870" s="6" t="s">
        <v>874</v>
      </c>
      <c r="C870" s="7">
        <v>50</v>
      </c>
      <c r="D870" s="7" t="str">
        <f>VLOOKUP(C870,'5-Genre Codes'!$A$1:$B$11,2,FALSE)</f>
        <v>Historical Fiction</v>
      </c>
      <c r="E870" s="8">
        <v>2000</v>
      </c>
      <c r="F870" s="6">
        <v>15805</v>
      </c>
      <c r="G870" s="6" t="str">
        <f>VLOOKUP(F870,'4-Actor Codes'!$A$1:$B$622,2,FALSE)</f>
        <v>Matthew McConaughey</v>
      </c>
      <c r="H870" s="8" t="s">
        <v>10</v>
      </c>
      <c r="I870" s="9">
        <v>77086030</v>
      </c>
      <c r="J870" s="10">
        <v>105688391</v>
      </c>
      <c r="L870" s="10">
        <v>60000000</v>
      </c>
      <c r="M870" s="13"/>
      <c r="N870" s="13"/>
      <c r="O870" s="13"/>
      <c r="P870" s="13"/>
    </row>
    <row r="871" spans="1:16" x14ac:dyDescent="0.35">
      <c r="A871" s="5">
        <v>870</v>
      </c>
      <c r="B871" s="6" t="s">
        <v>875</v>
      </c>
      <c r="C871" s="7">
        <v>20</v>
      </c>
      <c r="D871" s="7" t="str">
        <f>VLOOKUP(C871,'5-Genre Codes'!$A$1:$B$11,2,FALSE)</f>
        <v>Dramatization</v>
      </c>
      <c r="E871" s="8">
        <v>2004</v>
      </c>
      <c r="F871" s="6">
        <v>18760</v>
      </c>
      <c r="G871" s="6" t="str">
        <f>VLOOKUP(F871,'4-Actor Codes'!$A$1:$B$622,2,FALSE)</f>
        <v>Tom Hanks</v>
      </c>
      <c r="H871" s="8" t="s">
        <v>10</v>
      </c>
      <c r="I871" s="9">
        <v>77073959</v>
      </c>
      <c r="J871" s="10">
        <v>141600000</v>
      </c>
      <c r="L871" s="10">
        <v>75000000</v>
      </c>
      <c r="M871" s="13"/>
      <c r="N871" s="13"/>
      <c r="O871" s="13"/>
      <c r="P871" s="13"/>
    </row>
    <row r="872" spans="1:16" ht="31" x14ac:dyDescent="0.35">
      <c r="A872" s="5">
        <v>871</v>
      </c>
      <c r="B872" s="6" t="s">
        <v>876</v>
      </c>
      <c r="C872" s="7">
        <v>10</v>
      </c>
      <c r="D872" s="7" t="str">
        <f>VLOOKUP(C872,'5-Genre Codes'!$A$1:$B$11,2,FALSE)</f>
        <v>Contemporary Fiction</v>
      </c>
      <c r="E872" s="8">
        <v>1987</v>
      </c>
      <c r="F872" s="6">
        <v>16465</v>
      </c>
      <c r="G872" s="6" t="str">
        <f>VLOOKUP(F872,'4-Actor Codes'!$A$1:$B$622,2,FALSE)</f>
        <v>Nicolas Cage</v>
      </c>
      <c r="H872" s="8" t="s">
        <v>10</v>
      </c>
      <c r="I872" s="9">
        <v>77051120</v>
      </c>
      <c r="J872" s="10">
        <v>140000000</v>
      </c>
      <c r="L872" s="10">
        <v>31000000</v>
      </c>
      <c r="M872" s="13"/>
      <c r="N872" s="13"/>
      <c r="O872" s="13"/>
      <c r="P872" s="13"/>
    </row>
    <row r="873" spans="1:16" ht="31" x14ac:dyDescent="0.35">
      <c r="A873" s="5">
        <v>872</v>
      </c>
      <c r="B873" s="6" t="s">
        <v>877</v>
      </c>
      <c r="C873" s="7">
        <v>10</v>
      </c>
      <c r="D873" s="7" t="str">
        <f>VLOOKUP(C873,'5-Genre Codes'!$A$1:$B$11,2,FALSE)</f>
        <v>Contemporary Fiction</v>
      </c>
      <c r="E873" s="8">
        <v>2008</v>
      </c>
      <c r="F873" s="6">
        <v>11065</v>
      </c>
      <c r="G873" s="6" t="str">
        <f>VLOOKUP(F873,'4-Actor Codes'!$A$1:$B$622,2,FALSE)</f>
        <v>Brian Kerwin</v>
      </c>
      <c r="H873" s="8" t="s">
        <v>10</v>
      </c>
      <c r="I873" s="9">
        <v>76806312</v>
      </c>
      <c r="J873" s="10">
        <v>83439151</v>
      </c>
      <c r="L873" s="10">
        <v>30000000</v>
      </c>
      <c r="M873" s="13"/>
      <c r="N873" s="13"/>
      <c r="O873" s="13"/>
      <c r="P873" s="13"/>
    </row>
    <row r="874" spans="1:16" ht="31" x14ac:dyDescent="0.35">
      <c r="A874" s="5">
        <v>873</v>
      </c>
      <c r="B874" s="6" t="s">
        <v>878</v>
      </c>
      <c r="C874" s="7">
        <v>60</v>
      </c>
      <c r="D874" s="7" t="str">
        <f>VLOOKUP(C874,'5-Genre Codes'!$A$1:$B$11,2,FALSE)</f>
        <v>Kids Fiction</v>
      </c>
      <c r="E874" s="8">
        <v>1979</v>
      </c>
      <c r="F874" s="6">
        <v>18265</v>
      </c>
      <c r="G874" s="6" t="str">
        <f>VLOOKUP(F874,'4-Actor Codes'!$A$1:$B$622,2,FALSE)</f>
        <v>Steve Martin</v>
      </c>
      <c r="H874" s="8" t="s">
        <v>10</v>
      </c>
      <c r="I874" s="9">
        <v>76657000</v>
      </c>
      <c r="J874" s="10">
        <v>303268449</v>
      </c>
      <c r="L874" s="10">
        <v>175000000</v>
      </c>
      <c r="M874" s="13"/>
      <c r="N874" s="13"/>
      <c r="O874" s="13"/>
      <c r="P874" s="13"/>
    </row>
    <row r="875" spans="1:16" ht="46.5" x14ac:dyDescent="0.35">
      <c r="A875" s="5">
        <v>874</v>
      </c>
      <c r="B875" s="6" t="s">
        <v>879</v>
      </c>
      <c r="C875" s="7">
        <v>10</v>
      </c>
      <c r="D875" s="7" t="str">
        <f>VLOOKUP(C875,'5-Genre Codes'!$A$1:$B$11,2,FALSE)</f>
        <v>Contemporary Fiction</v>
      </c>
      <c r="E875" s="8">
        <v>1995</v>
      </c>
      <c r="F875" s="6">
        <v>16900</v>
      </c>
      <c r="G875" s="6" t="str">
        <f>VLOOKUP(F875,'4-Actor Codes'!$A$1:$B$622,2,FALSE)</f>
        <v>Peter Michael Goetz</v>
      </c>
      <c r="H875" s="8" t="s">
        <v>13</v>
      </c>
      <c r="I875" s="9">
        <v>76578911</v>
      </c>
      <c r="J875" s="10">
        <v>163454307</v>
      </c>
      <c r="L875" s="10">
        <v>14000000</v>
      </c>
      <c r="M875" s="13"/>
      <c r="N875" s="13"/>
      <c r="O875" s="13"/>
      <c r="P875" s="13"/>
    </row>
    <row r="876" spans="1:16" ht="31" x14ac:dyDescent="0.35">
      <c r="A876" s="5">
        <v>875</v>
      </c>
      <c r="B876" s="6" t="s">
        <v>880</v>
      </c>
      <c r="C876" s="7">
        <v>10</v>
      </c>
      <c r="D876" s="7" t="str">
        <f>VLOOKUP(C876,'5-Genre Codes'!$A$1:$B$11,2,FALSE)</f>
        <v>Contemporary Fiction</v>
      </c>
      <c r="E876" s="8">
        <v>1993</v>
      </c>
      <c r="F876" s="6">
        <v>12115</v>
      </c>
      <c r="G876" s="6" t="str">
        <f>VLOOKUP(F876,'4-Actor Codes'!$A$1:$B$622,2,FALSE)</f>
        <v>Denzel Washington</v>
      </c>
      <c r="H876" s="8" t="s">
        <v>10</v>
      </c>
      <c r="I876" s="9">
        <v>76512063</v>
      </c>
      <c r="J876" s="10">
        <v>124000000</v>
      </c>
      <c r="L876" s="10">
        <v>26000000</v>
      </c>
      <c r="M876" s="13"/>
      <c r="N876" s="13"/>
      <c r="O876" s="13"/>
      <c r="P876" s="13"/>
    </row>
    <row r="877" spans="1:16" x14ac:dyDescent="0.35">
      <c r="A877" s="5">
        <v>876</v>
      </c>
      <c r="B877" s="6" t="s">
        <v>881</v>
      </c>
      <c r="C877" s="7">
        <v>60</v>
      </c>
      <c r="D877" s="7" t="str">
        <f>VLOOKUP(C877,'5-Genre Codes'!$A$1:$B$11,2,FALSE)</f>
        <v>Kids Fiction</v>
      </c>
      <c r="E877" s="8">
        <v>2000</v>
      </c>
      <c r="F877" s="6">
        <v>14245</v>
      </c>
      <c r="G877" s="6" t="str">
        <f>VLOOKUP(F877,'4-Actor Codes'!$A$1:$B$622,2,FALSE)</f>
        <v>Joe Alaskey</v>
      </c>
      <c r="H877" s="8" t="s">
        <v>10</v>
      </c>
      <c r="I877" s="9">
        <v>76501438</v>
      </c>
      <c r="J877" s="10">
        <v>101203653</v>
      </c>
      <c r="L877" s="10">
        <v>14500000</v>
      </c>
      <c r="M877" s="13"/>
      <c r="N877" s="13"/>
      <c r="O877" s="13"/>
      <c r="P877" s="13"/>
    </row>
    <row r="878" spans="1:16" ht="31" x14ac:dyDescent="0.35">
      <c r="A878" s="5">
        <v>877</v>
      </c>
      <c r="B878" s="6" t="s">
        <v>882</v>
      </c>
      <c r="C878" s="7">
        <v>10</v>
      </c>
      <c r="D878" s="7" t="str">
        <f>VLOOKUP(C878,'5-Genre Codes'!$A$1:$B$11,2,FALSE)</f>
        <v>Contemporary Fiction</v>
      </c>
      <c r="E878" s="8">
        <v>2010</v>
      </c>
      <c r="F878" s="6">
        <v>18745</v>
      </c>
      <c r="G878" s="6" t="str">
        <f>VLOOKUP(F878,'4-Actor Codes'!$A$1:$B$622,2,FALSE)</f>
        <v>Tom Cruise</v>
      </c>
      <c r="H878" s="8" t="s">
        <v>10</v>
      </c>
      <c r="I878" s="9">
        <v>76423035</v>
      </c>
      <c r="J878" s="10">
        <v>182328335</v>
      </c>
      <c r="L878" s="10">
        <v>117000000</v>
      </c>
      <c r="M878" s="13"/>
      <c r="N878" s="13"/>
      <c r="O878" s="13"/>
      <c r="P878" s="13"/>
    </row>
    <row r="879" spans="1:16" ht="31" x14ac:dyDescent="0.35">
      <c r="A879" s="5">
        <v>878</v>
      </c>
      <c r="B879" s="6" t="s">
        <v>883</v>
      </c>
      <c r="C879" s="7">
        <v>40</v>
      </c>
      <c r="D879" s="7" t="str">
        <f>VLOOKUP(C879,'5-Genre Codes'!$A$1:$B$11,2,FALSE)</f>
        <v>Fantasy</v>
      </c>
      <c r="E879" s="8">
        <v>1991</v>
      </c>
      <c r="F879" s="6">
        <v>12040</v>
      </c>
      <c r="G879" s="6" t="str">
        <f>VLOOKUP(F879,'4-Actor Codes'!$A$1:$B$622,2,FALSE)</f>
        <v>David Warner</v>
      </c>
      <c r="H879" s="8" t="s">
        <v>13</v>
      </c>
      <c r="I879" s="9">
        <v>76323571</v>
      </c>
      <c r="J879" s="10">
        <v>66734085</v>
      </c>
      <c r="L879" s="10">
        <v>13500000</v>
      </c>
      <c r="M879" s="13"/>
      <c r="N879" s="13"/>
      <c r="O879" s="13"/>
      <c r="P879" s="13"/>
    </row>
    <row r="880" spans="1:16" ht="31" x14ac:dyDescent="0.35">
      <c r="A880" s="5">
        <v>879</v>
      </c>
      <c r="B880" s="6" t="s">
        <v>884</v>
      </c>
      <c r="C880" s="7">
        <v>10</v>
      </c>
      <c r="D880" s="7" t="str">
        <f>VLOOKUP(C880,'5-Genre Codes'!$A$1:$B$11,2,FALSE)</f>
        <v>Contemporary Fiction</v>
      </c>
      <c r="E880" s="8">
        <v>2001</v>
      </c>
      <c r="F880" s="6">
        <v>12115</v>
      </c>
      <c r="G880" s="6" t="str">
        <f>VLOOKUP(F880,'4-Actor Codes'!$A$1:$B$622,2,FALSE)</f>
        <v>Denzel Washington</v>
      </c>
      <c r="H880" s="8" t="s">
        <v>10</v>
      </c>
      <c r="I880" s="9">
        <v>76261036</v>
      </c>
      <c r="J880" s="10">
        <v>84192524</v>
      </c>
      <c r="L880" s="10">
        <v>48000000</v>
      </c>
      <c r="M880" s="13"/>
      <c r="N880" s="13"/>
      <c r="O880" s="13"/>
      <c r="P880" s="13"/>
    </row>
    <row r="881" spans="1:16" ht="31" x14ac:dyDescent="0.35">
      <c r="A881" s="5">
        <v>880</v>
      </c>
      <c r="B881" s="6" t="s">
        <v>885</v>
      </c>
      <c r="C881" s="7">
        <v>10</v>
      </c>
      <c r="D881" s="7" t="str">
        <f>VLOOKUP(C881,'5-Genre Codes'!$A$1:$B$11,2,FALSE)</f>
        <v>Contemporary Fiction</v>
      </c>
      <c r="E881" s="8">
        <v>1992</v>
      </c>
      <c r="F881" s="6">
        <v>19240</v>
      </c>
      <c r="G881" s="6" t="str">
        <f>VLOOKUP(F881,'4-Actor Codes'!$A$1:$B$622,2,FALSE)</f>
        <v>Woody Harrelson</v>
      </c>
      <c r="H881" s="8" t="s">
        <v>10</v>
      </c>
      <c r="I881" s="9">
        <v>76253806</v>
      </c>
      <c r="J881" s="10">
        <v>132336603</v>
      </c>
      <c r="L881" s="10">
        <v>150000000</v>
      </c>
      <c r="M881" s="13"/>
      <c r="N881" s="13"/>
      <c r="O881" s="13"/>
      <c r="P881" s="13"/>
    </row>
    <row r="882" spans="1:16" ht="31" x14ac:dyDescent="0.35">
      <c r="A882" s="5">
        <v>881</v>
      </c>
      <c r="B882" s="6" t="s">
        <v>886</v>
      </c>
      <c r="C882" s="7">
        <v>60</v>
      </c>
      <c r="D882" s="7" t="str">
        <f>VLOOKUP(C882,'5-Genre Codes'!$A$1:$B$11,2,FALSE)</f>
        <v>Kids Fiction</v>
      </c>
      <c r="E882" s="8">
        <v>2014</v>
      </c>
      <c r="F882" s="6">
        <v>13255</v>
      </c>
      <c r="G882" s="6" t="str">
        <f>VLOOKUP(F882,'4-Actor Codes'!$A$1:$B$622,2,FALSE)</f>
        <v>Hugh Bonneville</v>
      </c>
      <c r="H882" s="8" t="s">
        <v>10</v>
      </c>
      <c r="I882" s="9">
        <v>76223578</v>
      </c>
      <c r="J882" s="10">
        <v>183317852</v>
      </c>
      <c r="L882" s="10">
        <v>55000000</v>
      </c>
      <c r="M882" s="13"/>
      <c r="N882" s="13"/>
      <c r="O882" s="13"/>
      <c r="P882" s="13"/>
    </row>
    <row r="883" spans="1:16" ht="31" x14ac:dyDescent="0.35">
      <c r="A883" s="5">
        <v>882</v>
      </c>
      <c r="B883" s="6" t="s">
        <v>887</v>
      </c>
      <c r="C883" s="7">
        <v>10</v>
      </c>
      <c r="D883" s="7" t="str">
        <f>VLOOKUP(C883,'5-Genre Codes'!$A$1:$B$11,2,FALSE)</f>
        <v>Contemporary Fiction</v>
      </c>
      <c r="E883" s="8">
        <v>1997</v>
      </c>
      <c r="F883" s="6">
        <v>18250</v>
      </c>
      <c r="G883" s="6" t="str">
        <f>VLOOKUP(F883,'4-Actor Codes'!$A$1:$B$622,2,FALSE)</f>
        <v>Steve Kahan</v>
      </c>
      <c r="H883" s="8" t="s">
        <v>10</v>
      </c>
      <c r="I883" s="9">
        <v>76081498</v>
      </c>
      <c r="J883" s="10">
        <v>66664728</v>
      </c>
      <c r="L883" s="10">
        <v>80000000</v>
      </c>
      <c r="M883" s="13"/>
      <c r="N883" s="13"/>
      <c r="O883" s="13"/>
      <c r="P883" s="13"/>
    </row>
    <row r="884" spans="1:16" ht="31" x14ac:dyDescent="0.35">
      <c r="A884" s="5">
        <v>883</v>
      </c>
      <c r="B884" s="6" t="s">
        <v>888</v>
      </c>
      <c r="C884" s="7">
        <v>10</v>
      </c>
      <c r="D884" s="7" t="str">
        <f>VLOOKUP(C884,'5-Genre Codes'!$A$1:$B$11,2,FALSE)</f>
        <v>Contemporary Fiction</v>
      </c>
      <c r="E884" s="8">
        <v>2005</v>
      </c>
      <c r="F884" s="6">
        <v>16375</v>
      </c>
      <c r="G884" s="6" t="str">
        <f>VLOOKUP(F884,'4-Actor Codes'!$A$1:$B$622,2,FALSE)</f>
        <v>Naomi Watts</v>
      </c>
      <c r="H884" s="8" t="s">
        <v>13</v>
      </c>
      <c r="I884" s="9">
        <v>75941727</v>
      </c>
      <c r="J884" s="10">
        <v>86000000</v>
      </c>
      <c r="L884" s="10">
        <v>50000000</v>
      </c>
      <c r="M884" s="13"/>
      <c r="N884" s="13"/>
      <c r="O884" s="13"/>
      <c r="P884" s="13"/>
    </row>
    <row r="885" spans="1:16" ht="31" x14ac:dyDescent="0.35">
      <c r="A885" s="5">
        <v>884</v>
      </c>
      <c r="B885" s="6" t="s">
        <v>889</v>
      </c>
      <c r="C885" s="7">
        <v>10</v>
      </c>
      <c r="D885" s="7" t="str">
        <f>VLOOKUP(C885,'5-Genre Codes'!$A$1:$B$11,2,FALSE)</f>
        <v>Contemporary Fiction</v>
      </c>
      <c r="E885" s="8">
        <v>1982</v>
      </c>
      <c r="F885" s="6">
        <v>13480</v>
      </c>
      <c r="G885" s="6" t="str">
        <f>VLOOKUP(F885,'4-Actor Codes'!$A$1:$B$622,2,FALSE)</f>
        <v>Jack Thibeau</v>
      </c>
      <c r="H885" s="8" t="s">
        <v>10</v>
      </c>
      <c r="I885" s="9">
        <v>75936265</v>
      </c>
      <c r="J885" s="10">
        <v>113296587</v>
      </c>
      <c r="L885" s="10">
        <v>175000000</v>
      </c>
      <c r="M885" s="13"/>
      <c r="N885" s="13"/>
      <c r="O885" s="13"/>
      <c r="P885" s="13"/>
    </row>
    <row r="886" spans="1:16" ht="31" x14ac:dyDescent="0.35">
      <c r="A886" s="5">
        <v>885</v>
      </c>
      <c r="B886" s="6" t="s">
        <v>890</v>
      </c>
      <c r="C886" s="7">
        <v>80</v>
      </c>
      <c r="D886" s="7" t="str">
        <f>VLOOKUP(C886,'5-Genre Codes'!$A$1:$B$11,2,FALSE)</f>
        <v>Science Fiction</v>
      </c>
      <c r="E886" s="8">
        <v>1985</v>
      </c>
      <c r="F886" s="6">
        <v>13585</v>
      </c>
      <c r="G886" s="6" t="str">
        <f>VLOOKUP(F886,'4-Actor Codes'!$A$1:$B$622,2,FALSE)</f>
        <v>James Fitzpatrick</v>
      </c>
      <c r="H886" s="8" t="s">
        <v>10</v>
      </c>
      <c r="I886" s="9">
        <v>75901168</v>
      </c>
      <c r="J886" s="10">
        <v>91253793</v>
      </c>
      <c r="L886" s="10">
        <v>25000000</v>
      </c>
      <c r="M886" s="13"/>
      <c r="N886" s="13"/>
      <c r="O886" s="13"/>
      <c r="P886" s="13"/>
    </row>
    <row r="887" spans="1:16" ht="31" x14ac:dyDescent="0.35">
      <c r="A887" s="5">
        <v>886</v>
      </c>
      <c r="B887" s="6" t="s">
        <v>891</v>
      </c>
      <c r="C887" s="7">
        <v>10</v>
      </c>
      <c r="D887" s="7" t="str">
        <f>VLOOKUP(C887,'5-Genre Codes'!$A$1:$B$11,2,FALSE)</f>
        <v>Contemporary Fiction</v>
      </c>
      <c r="E887" s="8">
        <v>1984</v>
      </c>
      <c r="F887" s="6">
        <v>15355</v>
      </c>
      <c r="G887" s="6" t="str">
        <f>VLOOKUP(F887,'4-Actor Codes'!$A$1:$B$622,2,FALSE)</f>
        <v>Lori Singer</v>
      </c>
      <c r="H887" s="8" t="s">
        <v>10</v>
      </c>
      <c r="I887" s="9">
        <v>75846770</v>
      </c>
      <c r="J887" s="10">
        <v>100500000</v>
      </c>
      <c r="L887" s="10">
        <v>65000000</v>
      </c>
      <c r="M887" s="13"/>
      <c r="N887" s="13"/>
      <c r="O887" s="13"/>
      <c r="P887" s="13"/>
    </row>
    <row r="888" spans="1:16" ht="31" x14ac:dyDescent="0.35">
      <c r="A888" s="5">
        <v>887</v>
      </c>
      <c r="B888" s="6" t="s">
        <v>892</v>
      </c>
      <c r="C888" s="7">
        <v>60</v>
      </c>
      <c r="D888" s="7" t="str">
        <f>VLOOKUP(C888,'5-Genre Codes'!$A$1:$B$11,2,FALSE)</f>
        <v>Kids Fiction</v>
      </c>
      <c r="E888" s="8">
        <v>2003</v>
      </c>
      <c r="F888" s="6">
        <v>15610</v>
      </c>
      <c r="G888" s="6" t="str">
        <f>VLOOKUP(F888,'4-Actor Codes'!$A$1:$B$622,2,FALSE)</f>
        <v>Martin Klebba</v>
      </c>
      <c r="H888" s="8" t="s">
        <v>10</v>
      </c>
      <c r="I888" s="9">
        <v>75817994</v>
      </c>
      <c r="J888" s="10">
        <v>79932634</v>
      </c>
      <c r="L888" s="10">
        <v>90000000</v>
      </c>
      <c r="M888" s="13"/>
      <c r="N888" s="13"/>
      <c r="O888" s="13"/>
      <c r="P888" s="13"/>
    </row>
    <row r="889" spans="1:16" ht="31" x14ac:dyDescent="0.35">
      <c r="A889" s="5">
        <v>888</v>
      </c>
      <c r="B889" s="6" t="s">
        <v>893</v>
      </c>
      <c r="C889" s="7">
        <v>90</v>
      </c>
      <c r="D889" s="7" t="str">
        <f>VLOOKUP(C889,'5-Genre Codes'!$A$1:$B$11,2,FALSE)</f>
        <v>Super Hero</v>
      </c>
      <c r="E889" s="8">
        <v>2008</v>
      </c>
      <c r="F889" s="6">
        <v>17905</v>
      </c>
      <c r="G889" s="6" t="str">
        <f>VLOOKUP(F889,'4-Actor Codes'!$A$1:$B$622,2,FALSE)</f>
        <v>Seth MacFarlane</v>
      </c>
      <c r="H889" s="8" t="s">
        <v>13</v>
      </c>
      <c r="I889" s="9">
        <v>75791785</v>
      </c>
      <c r="J889" s="10">
        <v>84401560</v>
      </c>
      <c r="L889" s="10">
        <v>82500000</v>
      </c>
      <c r="M889" s="13"/>
      <c r="N889" s="13"/>
      <c r="O889" s="13"/>
      <c r="P889" s="13"/>
    </row>
    <row r="890" spans="1:16" ht="31" x14ac:dyDescent="0.35">
      <c r="A890" s="5">
        <v>889</v>
      </c>
      <c r="B890" s="6" t="s">
        <v>894</v>
      </c>
      <c r="C890" s="7">
        <v>10</v>
      </c>
      <c r="D890" s="7" t="str">
        <f>VLOOKUP(C890,'5-Genre Codes'!$A$1:$B$11,2,FALSE)</f>
        <v>Contemporary Fiction</v>
      </c>
      <c r="E890" s="8">
        <v>2002</v>
      </c>
      <c r="F890" s="6">
        <v>18835</v>
      </c>
      <c r="G890" s="6" t="str">
        <f>VLOOKUP(F890,'4-Actor Codes'!$A$1:$B$622,2,FALSE)</f>
        <v>Tom Wright</v>
      </c>
      <c r="H890" s="8" t="s">
        <v>10</v>
      </c>
      <c r="I890" s="9">
        <v>75781642</v>
      </c>
      <c r="J890" s="10">
        <v>165203000</v>
      </c>
      <c r="L890" s="10">
        <v>0</v>
      </c>
      <c r="M890" s="13"/>
      <c r="N890" s="13"/>
      <c r="O890" s="13"/>
      <c r="P890" s="13"/>
    </row>
    <row r="891" spans="1:16" ht="31" x14ac:dyDescent="0.35">
      <c r="A891" s="5">
        <v>890</v>
      </c>
      <c r="B891" s="6" t="s">
        <v>895</v>
      </c>
      <c r="C891" s="7">
        <v>10</v>
      </c>
      <c r="D891" s="7" t="str">
        <f>VLOOKUP(C891,'5-Genre Codes'!$A$1:$B$11,2,FALSE)</f>
        <v>Contemporary Fiction</v>
      </c>
      <c r="E891" s="8">
        <v>2000</v>
      </c>
      <c r="F891" s="6">
        <v>10195</v>
      </c>
      <c r="G891" s="6" t="str">
        <f>VLOOKUP(F891,'4-Actor Codes'!$A$1:$B$622,2,FALSE)</f>
        <v>Amber Valletta</v>
      </c>
      <c r="H891" s="8" t="s">
        <v>10</v>
      </c>
      <c r="I891" s="9">
        <v>75764085</v>
      </c>
      <c r="J891" s="10">
        <v>170138834</v>
      </c>
      <c r="L891" s="10">
        <v>100000000</v>
      </c>
      <c r="M891" s="13"/>
      <c r="N891" s="13"/>
      <c r="O891" s="13"/>
      <c r="P891" s="13"/>
    </row>
    <row r="892" spans="1:16" ht="31" x14ac:dyDescent="0.35">
      <c r="A892" s="5">
        <v>891</v>
      </c>
      <c r="B892" s="6" t="s">
        <v>896</v>
      </c>
      <c r="C892" s="7">
        <v>20</v>
      </c>
      <c r="D892" s="7" t="str">
        <f>VLOOKUP(C892,'5-Genre Codes'!$A$1:$B$11,2,FALSE)</f>
        <v>Dramatization</v>
      </c>
      <c r="E892" s="8">
        <v>1987</v>
      </c>
      <c r="F892" s="6">
        <v>17320</v>
      </c>
      <c r="G892" s="6" t="str">
        <f>VLOOKUP(F892,'4-Actor Codes'!$A$1:$B$622,2,FALSE)</f>
        <v>Robert De Niro</v>
      </c>
      <c r="H892" s="8" t="s">
        <v>10</v>
      </c>
      <c r="I892" s="9">
        <v>75729280</v>
      </c>
      <c r="J892" s="10">
        <v>116383693</v>
      </c>
      <c r="L892" s="10">
        <v>38000000</v>
      </c>
      <c r="M892" s="13"/>
      <c r="N892" s="13"/>
      <c r="O892" s="13"/>
      <c r="P892" s="13"/>
    </row>
    <row r="893" spans="1:16" ht="31" x14ac:dyDescent="0.35">
      <c r="A893" s="5">
        <v>892</v>
      </c>
      <c r="B893" s="6" t="s">
        <v>897</v>
      </c>
      <c r="C893" s="7">
        <v>80</v>
      </c>
      <c r="D893" s="7" t="str">
        <f>VLOOKUP(C893,'5-Genre Codes'!$A$1:$B$11,2,FALSE)</f>
        <v>Science Fiction</v>
      </c>
      <c r="E893" s="8">
        <v>2011</v>
      </c>
      <c r="F893" s="6">
        <v>13075</v>
      </c>
      <c r="G893" s="6" t="str">
        <f>VLOOKUP(F893,'4-Actor Codes'!$A$1:$B$622,2,FALSE)</f>
        <v>Gwyneth Paltrow</v>
      </c>
      <c r="H893" s="8" t="s">
        <v>10</v>
      </c>
      <c r="I893" s="9">
        <v>75658097</v>
      </c>
      <c r="J893" s="10">
        <v>61893497</v>
      </c>
      <c r="L893" s="10">
        <v>60000000</v>
      </c>
      <c r="M893" s="13"/>
      <c r="N893" s="13"/>
      <c r="O893" s="13"/>
      <c r="P893" s="13"/>
    </row>
    <row r="894" spans="1:16" ht="31" x14ac:dyDescent="0.35">
      <c r="A894" s="5">
        <v>893</v>
      </c>
      <c r="B894" s="6" t="s">
        <v>898</v>
      </c>
      <c r="C894" s="7">
        <v>10</v>
      </c>
      <c r="D894" s="7" t="str">
        <f>VLOOKUP(C894,'5-Genre Codes'!$A$1:$B$11,2,FALSE)</f>
        <v>Contemporary Fiction</v>
      </c>
      <c r="E894" s="8">
        <v>2006</v>
      </c>
      <c r="F894" s="6">
        <v>15700</v>
      </c>
      <c r="G894" s="6" t="str">
        <f>VLOOKUP(F894,'4-Actor Codes'!$A$1:$B$622,2,FALSE)</f>
        <v>Matt Dillon</v>
      </c>
      <c r="H894" s="8" t="s">
        <v>10</v>
      </c>
      <c r="I894" s="9">
        <v>75628110</v>
      </c>
      <c r="J894" s="10">
        <v>102892154</v>
      </c>
      <c r="L894" s="10">
        <v>90000000</v>
      </c>
      <c r="M894" s="13"/>
      <c r="N894" s="13"/>
      <c r="O894" s="13"/>
      <c r="P894" s="13"/>
    </row>
    <row r="895" spans="1:16" ht="31" x14ac:dyDescent="0.35">
      <c r="A895" s="5">
        <v>894</v>
      </c>
      <c r="B895" s="6" t="s">
        <v>899</v>
      </c>
      <c r="C895" s="7">
        <v>20</v>
      </c>
      <c r="D895" s="7" t="str">
        <f>VLOOKUP(C895,'5-Genre Codes'!$A$1:$B$11,2,FALSE)</f>
        <v>Dramatization</v>
      </c>
      <c r="E895" s="8">
        <v>2011</v>
      </c>
      <c r="F895" s="6">
        <v>15685</v>
      </c>
      <c r="G895" s="6" t="str">
        <f>VLOOKUP(F895,'4-Actor Codes'!$A$1:$B$622,2,FALSE)</f>
        <v>Matt Damon</v>
      </c>
      <c r="H895" s="8" t="s">
        <v>10</v>
      </c>
      <c r="I895" s="9">
        <v>75624550</v>
      </c>
      <c r="J895" s="10">
        <v>61400000</v>
      </c>
      <c r="L895" s="10">
        <v>20000000</v>
      </c>
      <c r="M895" s="13"/>
      <c r="N895" s="13"/>
      <c r="O895" s="13"/>
      <c r="P895" s="13"/>
    </row>
    <row r="896" spans="1:16" ht="31" x14ac:dyDescent="0.35">
      <c r="A896" s="5">
        <v>895</v>
      </c>
      <c r="B896" s="6" t="s">
        <v>900</v>
      </c>
      <c r="C896" s="7">
        <v>10</v>
      </c>
      <c r="D896" s="7" t="str">
        <f>VLOOKUP(C896,'5-Genre Codes'!$A$1:$B$11,2,FALSE)</f>
        <v>Contemporary Fiction</v>
      </c>
      <c r="E896" s="8">
        <v>2012</v>
      </c>
      <c r="F896" s="6">
        <v>12115</v>
      </c>
      <c r="G896" s="6" t="str">
        <f>VLOOKUP(F896,'4-Actor Codes'!$A$1:$B$622,2,FALSE)</f>
        <v>Denzel Washington</v>
      </c>
      <c r="H896" s="8" t="s">
        <v>10</v>
      </c>
      <c r="I896" s="9">
        <v>75612460</v>
      </c>
      <c r="J896" s="10">
        <v>56880555</v>
      </c>
      <c r="L896" s="10">
        <v>61000000</v>
      </c>
      <c r="M896" s="13"/>
      <c r="N896" s="13"/>
      <c r="O896" s="13"/>
      <c r="P896" s="13"/>
    </row>
    <row r="897" spans="1:16" x14ac:dyDescent="0.35">
      <c r="A897" s="5">
        <v>896</v>
      </c>
      <c r="B897" s="6" t="s">
        <v>901</v>
      </c>
      <c r="C897" s="7">
        <v>20</v>
      </c>
      <c r="D897" s="7" t="str">
        <f>VLOOKUP(C897,'5-Genre Codes'!$A$1:$B$11,2,FALSE)</f>
        <v>Dramatization</v>
      </c>
      <c r="E897" s="8">
        <v>2010</v>
      </c>
      <c r="F897" s="6">
        <v>10930</v>
      </c>
      <c r="G897" s="6" t="str">
        <f>VLOOKUP(F897,'4-Actor Codes'!$A$1:$B$622,2,FALSE)</f>
        <v>Brad Pitt</v>
      </c>
      <c r="H897" s="8" t="s">
        <v>10</v>
      </c>
      <c r="I897" s="9">
        <v>75605492</v>
      </c>
      <c r="J897" s="10">
        <v>77402069</v>
      </c>
      <c r="L897" s="10">
        <v>65000000</v>
      </c>
      <c r="M897" s="13"/>
      <c r="N897" s="13"/>
      <c r="O897" s="13"/>
      <c r="P897" s="13"/>
    </row>
    <row r="898" spans="1:16" ht="31" x14ac:dyDescent="0.35">
      <c r="A898" s="5">
        <v>897</v>
      </c>
      <c r="B898" s="6" t="s">
        <v>902</v>
      </c>
      <c r="C898" s="7">
        <v>10</v>
      </c>
      <c r="D898" s="7" t="str">
        <f>VLOOKUP(C898,'5-Genre Codes'!$A$1:$B$11,2,FALSE)</f>
        <v>Contemporary Fiction</v>
      </c>
      <c r="E898" s="8">
        <v>2002</v>
      </c>
      <c r="F898" s="6">
        <v>12100</v>
      </c>
      <c r="G898" s="6" t="str">
        <f>VLOOKUP(F898,'4-Actor Codes'!$A$1:$B$622,2,FALSE)</f>
        <v>Dennis Quaid</v>
      </c>
      <c r="H898" s="8" t="s">
        <v>10</v>
      </c>
      <c r="I898" s="9">
        <v>75600072</v>
      </c>
      <c r="J898" s="10">
        <v>0</v>
      </c>
      <c r="L898" s="10">
        <v>1200000</v>
      </c>
      <c r="M898" s="13"/>
      <c r="N898" s="13"/>
      <c r="O898" s="13"/>
      <c r="P898" s="13"/>
    </row>
    <row r="899" spans="1:16" ht="31" x14ac:dyDescent="0.35">
      <c r="A899" s="5">
        <v>898</v>
      </c>
      <c r="B899" s="6" t="s">
        <v>903</v>
      </c>
      <c r="C899" s="7">
        <v>40</v>
      </c>
      <c r="D899" s="7" t="str">
        <f>VLOOKUP(C899,'5-Genre Codes'!$A$1:$B$11,2,FALSE)</f>
        <v>Fantasy</v>
      </c>
      <c r="E899" s="8">
        <v>2009</v>
      </c>
      <c r="F899" s="6">
        <v>19240</v>
      </c>
      <c r="G899" s="6" t="str">
        <f>VLOOKUP(F899,'4-Actor Codes'!$A$1:$B$622,2,FALSE)</f>
        <v>Woody Harrelson</v>
      </c>
      <c r="H899" s="8" t="s">
        <v>10</v>
      </c>
      <c r="I899" s="9">
        <v>75590286</v>
      </c>
      <c r="J899" s="10">
        <v>38891719</v>
      </c>
      <c r="L899" s="10">
        <v>52500000</v>
      </c>
      <c r="M899" s="13"/>
      <c r="N899" s="13"/>
      <c r="O899" s="13"/>
      <c r="P899" s="13"/>
    </row>
    <row r="900" spans="1:16" ht="46.5" x14ac:dyDescent="0.35">
      <c r="A900" s="5">
        <v>899</v>
      </c>
      <c r="B900" s="6" t="s">
        <v>904</v>
      </c>
      <c r="C900" s="7">
        <v>20</v>
      </c>
      <c r="D900" s="7" t="str">
        <f>VLOOKUP(C900,'5-Genre Codes'!$A$1:$B$11,2,FALSE)</f>
        <v>Dramatization</v>
      </c>
      <c r="E900" s="8">
        <v>1995</v>
      </c>
      <c r="F900" s="6">
        <v>12010</v>
      </c>
      <c r="G900" s="6" t="str">
        <f>VLOOKUP(F900,'4-Actor Codes'!$A$1:$B$622,2,FALSE)</f>
        <v>David Patrick O'Hara</v>
      </c>
      <c r="H900" s="8" t="s">
        <v>10</v>
      </c>
      <c r="I900" s="9">
        <v>75545647</v>
      </c>
      <c r="J900" s="10">
        <v>133500000</v>
      </c>
      <c r="K900" s="11" t="s">
        <v>1010</v>
      </c>
      <c r="L900" s="10">
        <v>72000000</v>
      </c>
      <c r="M900" s="13"/>
      <c r="N900" s="13"/>
      <c r="O900" s="13"/>
      <c r="P900" s="13"/>
    </row>
    <row r="901" spans="1:16" ht="31" x14ac:dyDescent="0.35">
      <c r="A901" s="5">
        <v>900</v>
      </c>
      <c r="B901" s="6" t="s">
        <v>905</v>
      </c>
      <c r="C901" s="7">
        <v>10</v>
      </c>
      <c r="D901" s="7" t="str">
        <f>VLOOKUP(C901,'5-Genre Codes'!$A$1:$B$11,2,FALSE)</f>
        <v>Contemporary Fiction</v>
      </c>
      <c r="E901" s="8">
        <v>1999</v>
      </c>
      <c r="F901" s="6">
        <v>10240</v>
      </c>
      <c r="G901" s="6" t="str">
        <f>VLOOKUP(F901,'4-Actor Codes'!$A$1:$B$622,2,FALSE)</f>
        <v>Andrew Bryniarski</v>
      </c>
      <c r="H901" s="8" t="s">
        <v>10</v>
      </c>
      <c r="I901" s="9">
        <v>75530832</v>
      </c>
      <c r="J901" s="10">
        <v>61700000</v>
      </c>
      <c r="L901" s="10">
        <v>60000000</v>
      </c>
      <c r="M901" s="13"/>
      <c r="N901" s="13"/>
      <c r="O901" s="13"/>
      <c r="P901" s="13"/>
    </row>
    <row r="902" spans="1:16" x14ac:dyDescent="0.35">
      <c r="A902" s="5">
        <v>901</v>
      </c>
      <c r="B902" s="6" t="s">
        <v>906</v>
      </c>
      <c r="C902" s="7">
        <v>80</v>
      </c>
      <c r="D902" s="7" t="str">
        <f>VLOOKUP(C902,'5-Genre Codes'!$A$1:$B$11,2,FALSE)</f>
        <v>Science Fiction</v>
      </c>
      <c r="E902" s="8">
        <v>1994</v>
      </c>
      <c r="F902" s="6">
        <v>11050</v>
      </c>
      <c r="G902" s="6" t="str">
        <f>VLOOKUP(F902,'4-Actor Codes'!$A$1:$B$622,2,FALSE)</f>
        <v>Brent Spiner</v>
      </c>
      <c r="H902" s="8" t="s">
        <v>13</v>
      </c>
      <c r="I902" s="9">
        <v>75510568</v>
      </c>
      <c r="J902" s="10">
        <v>57972112</v>
      </c>
      <c r="L902" s="10">
        <v>46000000</v>
      </c>
      <c r="M902" s="13"/>
      <c r="N902" s="13"/>
      <c r="O902" s="13"/>
      <c r="P902" s="13"/>
    </row>
    <row r="903" spans="1:16" ht="31" x14ac:dyDescent="0.35">
      <c r="A903" s="5">
        <v>902</v>
      </c>
      <c r="B903" s="6" t="s">
        <v>907</v>
      </c>
      <c r="C903" s="7">
        <v>10</v>
      </c>
      <c r="D903" s="7" t="str">
        <f>VLOOKUP(C903,'5-Genre Codes'!$A$1:$B$11,2,FALSE)</f>
        <v>Contemporary Fiction</v>
      </c>
      <c r="E903" s="8">
        <v>2005</v>
      </c>
      <c r="F903" s="6">
        <v>15115</v>
      </c>
      <c r="G903" s="6" t="str">
        <f>VLOOKUP(F903,'4-Actor Codes'!$A$1:$B$622,2,FALSE)</f>
        <v>Laz Alonso</v>
      </c>
      <c r="H903" s="8" t="s">
        <v>10</v>
      </c>
      <c r="I903" s="9">
        <v>75500759</v>
      </c>
      <c r="J903" s="10">
        <v>145618733</v>
      </c>
      <c r="L903" s="10">
        <v>75000000</v>
      </c>
      <c r="M903" s="13"/>
      <c r="N903" s="13"/>
      <c r="O903" s="13"/>
      <c r="P903" s="13"/>
    </row>
    <row r="904" spans="1:16" ht="31" x14ac:dyDescent="0.35">
      <c r="A904" s="5">
        <v>903</v>
      </c>
      <c r="B904" s="6" t="s">
        <v>908</v>
      </c>
      <c r="C904" s="7">
        <v>10</v>
      </c>
      <c r="D904" s="7" t="str">
        <f>VLOOKUP(C904,'5-Genre Codes'!$A$1:$B$11,2,FALSE)</f>
        <v>Contemporary Fiction</v>
      </c>
      <c r="E904" s="8">
        <v>1998</v>
      </c>
      <c r="F904" s="6">
        <v>14080</v>
      </c>
      <c r="G904" s="6" t="str">
        <f>VLOOKUP(F904,'4-Actor Codes'!$A$1:$B$622,2,FALSE)</f>
        <v>Jessalyn Gilsig</v>
      </c>
      <c r="H904" s="8" t="s">
        <v>10</v>
      </c>
      <c r="I904" s="9">
        <v>75370763</v>
      </c>
      <c r="J904" s="10">
        <v>111500000</v>
      </c>
      <c r="L904" s="10">
        <v>60000000</v>
      </c>
      <c r="M904" s="13"/>
      <c r="N904" s="13"/>
      <c r="O904" s="13"/>
      <c r="P904" s="13"/>
    </row>
    <row r="905" spans="1:16" ht="31" x14ac:dyDescent="0.35">
      <c r="A905" s="5">
        <v>904</v>
      </c>
      <c r="B905" s="6" t="s">
        <v>909</v>
      </c>
      <c r="C905" s="7">
        <v>10</v>
      </c>
      <c r="D905" s="7" t="str">
        <f>VLOOKUP(C905,'5-Genre Codes'!$A$1:$B$11,2,FALSE)</f>
        <v>Contemporary Fiction</v>
      </c>
      <c r="E905" s="8">
        <v>2004</v>
      </c>
      <c r="F905" s="6">
        <v>11020</v>
      </c>
      <c r="G905" s="6" t="str">
        <f>VLOOKUP(F905,'4-Actor Codes'!$A$1:$B$622,2,FALSE)</f>
        <v>Breckin Meyer</v>
      </c>
      <c r="H905" s="8" t="s">
        <v>10</v>
      </c>
      <c r="I905" s="9">
        <v>75367693</v>
      </c>
      <c r="J905" s="10">
        <v>132726857</v>
      </c>
      <c r="L905" s="10">
        <v>50000000</v>
      </c>
      <c r="M905" s="13"/>
      <c r="N905" s="13"/>
      <c r="O905" s="13"/>
      <c r="P905" s="13"/>
    </row>
    <row r="906" spans="1:16" x14ac:dyDescent="0.35">
      <c r="A906" s="5">
        <v>905</v>
      </c>
      <c r="B906" s="6" t="s">
        <v>910</v>
      </c>
      <c r="C906" s="7">
        <v>20</v>
      </c>
      <c r="D906" s="7" t="str">
        <f>VLOOKUP(C906,'5-Genre Codes'!$A$1:$B$11,2,FALSE)</f>
        <v>Dramatization</v>
      </c>
      <c r="E906" s="8">
        <v>2004</v>
      </c>
      <c r="F906" s="6">
        <v>13735</v>
      </c>
      <c r="G906" s="6" t="str">
        <f>VLOOKUP(F906,'4-Actor Codes'!$A$1:$B$622,2,FALSE)</f>
        <v>Jamie Foxx</v>
      </c>
      <c r="H906" s="8" t="s">
        <v>10</v>
      </c>
      <c r="I906" s="9">
        <v>75305995</v>
      </c>
      <c r="J906" s="10">
        <v>420104041</v>
      </c>
      <c r="L906" s="10">
        <v>150000000</v>
      </c>
      <c r="M906" s="13"/>
      <c r="N906" s="13"/>
      <c r="O906" s="13"/>
      <c r="P906" s="13"/>
    </row>
    <row r="907" spans="1:16" ht="31" x14ac:dyDescent="0.35">
      <c r="A907" s="5">
        <v>906</v>
      </c>
      <c r="B907" s="6" t="s">
        <v>911</v>
      </c>
      <c r="C907" s="7">
        <v>60</v>
      </c>
      <c r="D907" s="7" t="str">
        <f>VLOOKUP(C907,'5-Genre Codes'!$A$1:$B$11,2,FALSE)</f>
        <v>Kids Fiction</v>
      </c>
      <c r="E907" s="8">
        <v>2009</v>
      </c>
      <c r="F907" s="6">
        <v>17260</v>
      </c>
      <c r="G907" s="6" t="str">
        <f>VLOOKUP(F907,'4-Actor Codes'!$A$1:$B$622,2,FALSE)</f>
        <v>Robert Bailey, Jr.</v>
      </c>
      <c r="H907" s="8" t="s">
        <v>10</v>
      </c>
      <c r="I907" s="9">
        <v>75286229</v>
      </c>
      <c r="J907" s="10">
        <v>86200000</v>
      </c>
      <c r="L907" s="10">
        <v>14000000</v>
      </c>
      <c r="M907" s="13"/>
      <c r="N907" s="13"/>
      <c r="O907" s="13"/>
      <c r="P907" s="13"/>
    </row>
    <row r="908" spans="1:16" ht="31" x14ac:dyDescent="0.35">
      <c r="A908" s="5">
        <v>907</v>
      </c>
      <c r="B908" s="6" t="s">
        <v>912</v>
      </c>
      <c r="C908" s="7">
        <v>10</v>
      </c>
      <c r="D908" s="7" t="str">
        <f>VLOOKUP(C908,'5-Genre Codes'!$A$1:$B$11,2,FALSE)</f>
        <v>Contemporary Fiction</v>
      </c>
      <c r="E908" s="8">
        <v>2003</v>
      </c>
      <c r="F908" s="6">
        <v>15385</v>
      </c>
      <c r="G908" s="6" t="str">
        <f>VLOOKUP(F908,'4-Actor Codes'!$A$1:$B$622,2,FALSE)</f>
        <v>Luke Wilson</v>
      </c>
      <c r="H908" s="8" t="s">
        <v>10</v>
      </c>
      <c r="I908" s="9">
        <v>75155000</v>
      </c>
      <c r="J908" s="10">
        <v>119600000</v>
      </c>
      <c r="L908" s="10">
        <v>27500000</v>
      </c>
      <c r="M908" s="13"/>
      <c r="N908" s="13"/>
      <c r="O908" s="13"/>
      <c r="P908" s="13"/>
    </row>
    <row r="909" spans="1:16" ht="31" x14ac:dyDescent="0.35">
      <c r="A909" s="5">
        <v>908</v>
      </c>
      <c r="B909" s="6" t="s">
        <v>913</v>
      </c>
      <c r="C909" s="7">
        <v>10</v>
      </c>
      <c r="D909" s="7" t="str">
        <f>VLOOKUP(C909,'5-Genre Codes'!$A$1:$B$11,2,FALSE)</f>
        <v>Contemporary Fiction</v>
      </c>
      <c r="E909" s="8">
        <v>1984</v>
      </c>
      <c r="F909" s="6">
        <v>15985</v>
      </c>
      <c r="G909" s="6" t="str">
        <f>VLOOKUP(F909,'4-Actor Codes'!$A$1:$B$622,2,FALSE)</f>
        <v>Michael Douglas</v>
      </c>
      <c r="H909" s="8" t="s">
        <v>10</v>
      </c>
      <c r="I909" s="9">
        <v>75078260</v>
      </c>
      <c r="J909" s="10">
        <v>172500000</v>
      </c>
      <c r="L909" s="10">
        <v>0</v>
      </c>
      <c r="M909" s="13"/>
      <c r="N909" s="13"/>
      <c r="O909" s="13"/>
      <c r="P909" s="13"/>
    </row>
    <row r="910" spans="1:16" ht="31" x14ac:dyDescent="0.35">
      <c r="A910" s="5">
        <v>909</v>
      </c>
      <c r="B910" s="6" t="s">
        <v>914</v>
      </c>
      <c r="C910" s="7">
        <v>20</v>
      </c>
      <c r="D910" s="7" t="str">
        <f>VLOOKUP(C910,'5-Genre Codes'!$A$1:$B$11,2,FALSE)</f>
        <v>Dramatization</v>
      </c>
      <c r="E910" s="8">
        <v>2005</v>
      </c>
      <c r="F910" s="6">
        <v>13225</v>
      </c>
      <c r="G910" s="6" t="str">
        <f>VLOOKUP(F910,'4-Actor Codes'!$A$1:$B$622,2,FALSE)</f>
        <v>Henry Czerny</v>
      </c>
      <c r="H910" s="8" t="s">
        <v>10</v>
      </c>
      <c r="I910" s="9">
        <v>75072454</v>
      </c>
      <c r="J910" s="10">
        <v>69456624</v>
      </c>
      <c r="L910" s="10">
        <v>18000000</v>
      </c>
      <c r="M910" s="13"/>
      <c r="N910" s="13"/>
      <c r="O910" s="13"/>
      <c r="P910" s="13"/>
    </row>
    <row r="911" spans="1:16" x14ac:dyDescent="0.35">
      <c r="A911" s="5">
        <v>910</v>
      </c>
      <c r="B911" s="6" t="s">
        <v>915</v>
      </c>
      <c r="C911" s="7">
        <v>40</v>
      </c>
      <c r="D911" s="7" t="str">
        <f>VLOOKUP(C911,'5-Genre Codes'!$A$1:$B$11,2,FALSE)</f>
        <v>Fantasy</v>
      </c>
      <c r="E911" s="8">
        <v>2006</v>
      </c>
      <c r="F911" s="6">
        <v>12880</v>
      </c>
      <c r="G911" s="6" t="str">
        <f>VLOOKUP(F911,'4-Actor Codes'!$A$1:$B$622,2,FALSE)</f>
        <v>Gary Lewis</v>
      </c>
      <c r="H911" s="8" t="s">
        <v>10</v>
      </c>
      <c r="I911" s="9">
        <v>75030163</v>
      </c>
      <c r="J911" s="10">
        <v>174457952</v>
      </c>
      <c r="L911" s="10">
        <v>100000000</v>
      </c>
      <c r="M911" s="13"/>
      <c r="N911" s="13"/>
      <c r="O911" s="13"/>
      <c r="P911" s="13"/>
    </row>
    <row r="912" spans="1:16" ht="31" x14ac:dyDescent="0.35">
      <c r="A912" s="5">
        <v>911</v>
      </c>
      <c r="B912" s="6" t="s">
        <v>916</v>
      </c>
      <c r="C912" s="7">
        <v>80</v>
      </c>
      <c r="D912" s="7" t="str">
        <f>VLOOKUP(C912,'5-Genre Codes'!$A$1:$B$11,2,FALSE)</f>
        <v>Science Fiction</v>
      </c>
      <c r="E912" s="8">
        <v>1991</v>
      </c>
      <c r="F912" s="6">
        <v>19225</v>
      </c>
      <c r="G912" s="6" t="str">
        <f>VLOOKUP(F912,'4-Actor Codes'!$A$1:$B$622,2,FALSE)</f>
        <v>William Shatner</v>
      </c>
      <c r="H912" s="8" t="s">
        <v>13</v>
      </c>
      <c r="I912" s="9">
        <v>74888996</v>
      </c>
      <c r="J912" s="10">
        <v>238200000</v>
      </c>
      <c r="L912" s="10">
        <v>190000000</v>
      </c>
      <c r="M912" s="13"/>
      <c r="N912" s="13"/>
      <c r="O912" s="13"/>
      <c r="P912" s="13"/>
    </row>
    <row r="913" spans="1:16" ht="31" x14ac:dyDescent="0.35">
      <c r="A913" s="5">
        <v>912</v>
      </c>
      <c r="B913" s="6" t="s">
        <v>917</v>
      </c>
      <c r="C913" s="7">
        <v>10</v>
      </c>
      <c r="D913" s="7" t="str">
        <f>VLOOKUP(C913,'5-Genre Codes'!$A$1:$B$11,2,FALSE)</f>
        <v>Contemporary Fiction</v>
      </c>
      <c r="E913" s="8">
        <v>1991</v>
      </c>
      <c r="F913" s="6">
        <v>10570</v>
      </c>
      <c r="G913" s="6" t="str">
        <f>VLOOKUP(F913,'4-Actor Codes'!$A$1:$B$622,2,FALSE)</f>
        <v>Barbra Streisand</v>
      </c>
      <c r="H913" s="8" t="s">
        <v>10</v>
      </c>
      <c r="I913" s="9">
        <v>74787599</v>
      </c>
      <c r="J913" s="10">
        <v>117200000</v>
      </c>
      <c r="L913" s="10">
        <v>60000000</v>
      </c>
      <c r="M913" s="13"/>
      <c r="N913" s="13"/>
      <c r="O913" s="13"/>
      <c r="P913" s="13"/>
    </row>
    <row r="914" spans="1:16" ht="31" x14ac:dyDescent="0.35">
      <c r="A914" s="5">
        <v>913</v>
      </c>
      <c r="B914" s="6" t="s">
        <v>918</v>
      </c>
      <c r="C914" s="7">
        <v>40</v>
      </c>
      <c r="D914" s="7" t="str">
        <f>VLOOKUP(C914,'5-Genre Codes'!$A$1:$B$11,2,FALSE)</f>
        <v>Fantasy</v>
      </c>
      <c r="E914" s="8">
        <v>1982</v>
      </c>
      <c r="F914" s="6">
        <v>11650</v>
      </c>
      <c r="G914" s="6" t="str">
        <f>VLOOKUP(F914,'4-Actor Codes'!$A$1:$B$622,2,FALSE)</f>
        <v>Craig T. Nelson</v>
      </c>
      <c r="H914" s="8" t="s">
        <v>10</v>
      </c>
      <c r="I914" s="9">
        <v>74706019</v>
      </c>
      <c r="J914" s="10">
        <v>77900000</v>
      </c>
      <c r="L914" s="10">
        <v>30000000</v>
      </c>
      <c r="M914" s="13"/>
      <c r="N914" s="13"/>
      <c r="O914" s="13"/>
      <c r="P914" s="13"/>
    </row>
    <row r="915" spans="1:16" ht="31" x14ac:dyDescent="0.35">
      <c r="A915" s="5">
        <v>914</v>
      </c>
      <c r="B915" s="6" t="s">
        <v>919</v>
      </c>
      <c r="C915" s="7">
        <v>10</v>
      </c>
      <c r="D915" s="7" t="str">
        <f>VLOOKUP(C915,'5-Genre Codes'!$A$1:$B$11,2,FALSE)</f>
        <v>Contemporary Fiction</v>
      </c>
      <c r="E915" s="8">
        <v>2004</v>
      </c>
      <c r="F915" s="6">
        <v>10555</v>
      </c>
      <c r="G915" s="6" t="str">
        <f>VLOOKUP(F915,'4-Actor Codes'!$A$1:$B$622,2,FALSE)</f>
        <v>Balthazar Getty</v>
      </c>
      <c r="H915" s="8" t="s">
        <v>10</v>
      </c>
      <c r="I915" s="9">
        <v>74541707</v>
      </c>
      <c r="J915" s="10">
        <v>55839136</v>
      </c>
      <c r="L915" s="10">
        <v>3400000</v>
      </c>
      <c r="M915" s="13"/>
      <c r="N915" s="13"/>
      <c r="O915" s="13"/>
      <c r="P915" s="13"/>
    </row>
    <row r="916" spans="1:16" ht="31" x14ac:dyDescent="0.35">
      <c r="A916" s="5">
        <v>915</v>
      </c>
      <c r="B916" s="6" t="s">
        <v>920</v>
      </c>
      <c r="C916" s="7">
        <v>10</v>
      </c>
      <c r="D916" s="7" t="str">
        <f>VLOOKUP(C916,'5-Genre Codes'!$A$1:$B$11,2,FALSE)</f>
        <v>Contemporary Fiction</v>
      </c>
      <c r="E916" s="8">
        <v>2005</v>
      </c>
      <c r="F916" s="6">
        <v>18445</v>
      </c>
      <c r="G916" s="6" t="str">
        <f>VLOOKUP(F916,'4-Actor Codes'!$A$1:$B$622,2,FALSE)</f>
        <v>Taraji P. Henson</v>
      </c>
      <c r="H916" s="8" t="s">
        <v>10</v>
      </c>
      <c r="I916" s="9">
        <v>74494381</v>
      </c>
      <c r="J916" s="10">
        <v>349706026</v>
      </c>
      <c r="L916" s="10">
        <v>55000000</v>
      </c>
      <c r="M916" s="13"/>
      <c r="N916" s="13"/>
      <c r="O916" s="13"/>
      <c r="P916" s="13"/>
    </row>
    <row r="917" spans="1:16" ht="31" x14ac:dyDescent="0.35">
      <c r="A917" s="5">
        <v>916</v>
      </c>
      <c r="B917" s="6" t="s">
        <v>921</v>
      </c>
      <c r="C917" s="7">
        <v>80</v>
      </c>
      <c r="D917" s="7" t="str">
        <f>VLOOKUP(C917,'5-Genre Codes'!$A$1:$B$11,2,FALSE)</f>
        <v>Science Fiction</v>
      </c>
      <c r="E917" s="8">
        <v>1983</v>
      </c>
      <c r="F917" s="6">
        <v>15745</v>
      </c>
      <c r="G917" s="6" t="str">
        <f>VLOOKUP(F917,'4-Actor Codes'!$A$1:$B$622,2,FALSE)</f>
        <v>Matthew Broderick</v>
      </c>
      <c r="H917" s="8" t="s">
        <v>10</v>
      </c>
      <c r="I917" s="9">
        <v>74433837</v>
      </c>
      <c r="J917" s="10">
        <v>372556181</v>
      </c>
      <c r="L917" s="10">
        <v>132000000</v>
      </c>
      <c r="M917" s="13"/>
      <c r="N917" s="13"/>
      <c r="O917" s="13"/>
      <c r="P917" s="13"/>
    </row>
    <row r="918" spans="1:16" ht="31" x14ac:dyDescent="0.35">
      <c r="A918" s="5">
        <v>917</v>
      </c>
      <c r="B918" s="6" t="s">
        <v>922</v>
      </c>
      <c r="C918" s="7">
        <v>10</v>
      </c>
      <c r="D918" s="7" t="str">
        <f>VLOOKUP(C918,'5-Genre Codes'!$A$1:$B$11,2,FALSE)</f>
        <v>Contemporary Fiction</v>
      </c>
      <c r="E918" s="8">
        <v>1998</v>
      </c>
      <c r="F918" s="6">
        <v>13120</v>
      </c>
      <c r="G918" s="6" t="str">
        <f>VLOOKUP(F918,'4-Actor Codes'!$A$1:$B$622,2,FALSE)</f>
        <v>Harrison Ford</v>
      </c>
      <c r="H918" s="8" t="s">
        <v>10</v>
      </c>
      <c r="I918" s="9">
        <v>74292149</v>
      </c>
      <c r="J918" s="10">
        <v>90460706</v>
      </c>
      <c r="L918" s="10">
        <v>80000000</v>
      </c>
      <c r="M918" s="13"/>
      <c r="N918" s="13"/>
      <c r="O918" s="13"/>
      <c r="P918" s="13"/>
    </row>
    <row r="919" spans="1:16" ht="31" x14ac:dyDescent="0.35">
      <c r="A919" s="5">
        <v>918</v>
      </c>
      <c r="B919" s="6" t="s">
        <v>923</v>
      </c>
      <c r="C919" s="7">
        <v>50</v>
      </c>
      <c r="D919" s="7" t="str">
        <f>VLOOKUP(C919,'5-Genre Codes'!$A$1:$B$11,2,FALSE)</f>
        <v>Historical Fiction</v>
      </c>
      <c r="E919" s="8">
        <v>2007</v>
      </c>
      <c r="F919" s="6">
        <v>13855</v>
      </c>
      <c r="G919" s="6" t="str">
        <f>VLOOKUP(F919,'4-Actor Codes'!$A$1:$B$622,2,FALSE)</f>
        <v>Javier Bardem</v>
      </c>
      <c r="H919" s="8" t="s">
        <v>10</v>
      </c>
      <c r="I919" s="9">
        <v>74273505</v>
      </c>
      <c r="J919" s="10">
        <v>89777745</v>
      </c>
      <c r="K919" s="11" t="s">
        <v>1010</v>
      </c>
      <c r="L919" s="10">
        <v>25000000</v>
      </c>
      <c r="M919" s="13"/>
      <c r="N919" s="13"/>
      <c r="O919" s="13"/>
      <c r="P919" s="13"/>
    </row>
    <row r="920" spans="1:16" ht="31" x14ac:dyDescent="0.35">
      <c r="A920" s="5">
        <v>919</v>
      </c>
      <c r="B920" s="6" t="s">
        <v>924</v>
      </c>
      <c r="C920" s="7">
        <v>10</v>
      </c>
      <c r="D920" s="7" t="str">
        <f>VLOOKUP(C920,'5-Genre Codes'!$A$1:$B$11,2,FALSE)</f>
        <v>Contemporary Fiction</v>
      </c>
      <c r="E920" s="8">
        <v>2011</v>
      </c>
      <c r="F920" s="6">
        <v>14740</v>
      </c>
      <c r="G920" s="6" t="str">
        <f>VLOOKUP(F920,'4-Actor Codes'!$A$1:$B$622,2,FALSE)</f>
        <v>Katie Holmes</v>
      </c>
      <c r="H920" s="8" t="s">
        <v>10</v>
      </c>
      <c r="I920" s="9">
        <v>74158157</v>
      </c>
      <c r="J920" s="10">
        <v>76361060</v>
      </c>
      <c r="L920" s="10">
        <v>79000000</v>
      </c>
      <c r="M920" s="13"/>
      <c r="N920" s="13"/>
      <c r="O920" s="13"/>
      <c r="P920" s="13"/>
    </row>
    <row r="921" spans="1:16" x14ac:dyDescent="0.35">
      <c r="A921" s="5">
        <v>920</v>
      </c>
      <c r="B921" s="6" t="s">
        <v>925</v>
      </c>
      <c r="C921" s="7">
        <v>40</v>
      </c>
      <c r="D921" s="7" t="str">
        <f>VLOOKUP(C921,'5-Genre Codes'!$A$1:$B$11,2,FALSE)</f>
        <v>Fantasy</v>
      </c>
      <c r="E921" s="8">
        <v>2005</v>
      </c>
      <c r="F921" s="6">
        <v>11095</v>
      </c>
      <c r="G921" s="6" t="str">
        <f>VLOOKUP(F921,'4-Actor Codes'!$A$1:$B$622,2,FALSE)</f>
        <v>Bruce Willis</v>
      </c>
      <c r="H921" s="8" t="s">
        <v>10</v>
      </c>
      <c r="I921" s="9">
        <v>74103820</v>
      </c>
      <c r="J921" s="10">
        <v>84650000</v>
      </c>
      <c r="L921" s="10">
        <v>40000000</v>
      </c>
      <c r="M921" s="13"/>
      <c r="N921" s="13"/>
      <c r="O921" s="13"/>
      <c r="P921" s="13"/>
    </row>
    <row r="922" spans="1:16" ht="31" x14ac:dyDescent="0.35">
      <c r="A922" s="5">
        <v>921</v>
      </c>
      <c r="B922" s="6" t="s">
        <v>926</v>
      </c>
      <c r="C922" s="7">
        <v>10</v>
      </c>
      <c r="D922" s="7" t="str">
        <f>VLOOKUP(C922,'5-Genre Codes'!$A$1:$B$11,2,FALSE)</f>
        <v>Contemporary Fiction</v>
      </c>
      <c r="E922" s="8">
        <v>2001</v>
      </c>
      <c r="F922" s="6">
        <v>10405</v>
      </c>
      <c r="G922" s="6" t="str">
        <f>VLOOKUP(F922,'4-Actor Codes'!$A$1:$B$622,2,FALSE)</f>
        <v>Anna Maria Horsford</v>
      </c>
      <c r="H922" s="8" t="s">
        <v>10</v>
      </c>
      <c r="I922" s="9">
        <v>74058698</v>
      </c>
      <c r="J922" s="10">
        <v>98156207</v>
      </c>
      <c r="L922" s="10">
        <v>17000000</v>
      </c>
      <c r="M922" s="13"/>
      <c r="N922" s="13"/>
      <c r="O922" s="13"/>
      <c r="P922" s="13"/>
    </row>
    <row r="923" spans="1:16" x14ac:dyDescent="0.35">
      <c r="A923" s="5">
        <v>922</v>
      </c>
      <c r="B923" s="6" t="s">
        <v>927</v>
      </c>
      <c r="C923" s="7">
        <v>40</v>
      </c>
      <c r="D923" s="7" t="str">
        <f>VLOOKUP(C923,'5-Genre Codes'!$A$1:$B$11,2,FALSE)</f>
        <v>Fantasy</v>
      </c>
      <c r="E923" s="8">
        <v>2016</v>
      </c>
      <c r="F923" s="6">
        <v>13405</v>
      </c>
      <c r="G923" s="6" t="str">
        <f>VLOOKUP(F923,'4-Actor Codes'!$A$1:$B$622,2,FALSE)</f>
        <v>Jack Black</v>
      </c>
      <c r="H923" s="8" t="s">
        <v>10</v>
      </c>
      <c r="I923" s="9">
        <v>73923321</v>
      </c>
      <c r="J923" s="10">
        <v>87500000</v>
      </c>
      <c r="L923" s="10">
        <v>10000000</v>
      </c>
      <c r="M923" s="13"/>
      <c r="N923" s="13"/>
      <c r="O923" s="13"/>
      <c r="P923" s="13"/>
    </row>
    <row r="924" spans="1:16" x14ac:dyDescent="0.35">
      <c r="A924" s="5">
        <v>923</v>
      </c>
      <c r="B924" s="6" t="s">
        <v>928</v>
      </c>
      <c r="C924" s="7">
        <v>40</v>
      </c>
      <c r="D924" s="7" t="str">
        <f>VLOOKUP(C924,'5-Genre Codes'!$A$1:$B$11,2,FALSE)</f>
        <v>Fantasy</v>
      </c>
      <c r="E924" s="8">
        <v>2011</v>
      </c>
      <c r="F924" s="6">
        <v>10645</v>
      </c>
      <c r="G924" s="6" t="str">
        <f>VLOOKUP(F924,'4-Actor Codes'!$A$1:$B$622,2,FALSE)</f>
        <v>Ben Kingsley</v>
      </c>
      <c r="H924" s="8" t="s">
        <v>10</v>
      </c>
      <c r="I924" s="9">
        <v>73864507</v>
      </c>
      <c r="J924" s="10">
        <v>106183277</v>
      </c>
      <c r="L924" s="10">
        <v>180000000</v>
      </c>
      <c r="M924" s="13"/>
      <c r="N924" s="13"/>
      <c r="O924" s="13"/>
      <c r="P924" s="13"/>
    </row>
    <row r="925" spans="1:16" ht="31" x14ac:dyDescent="0.35">
      <c r="A925" s="5">
        <v>924</v>
      </c>
      <c r="B925" s="6" t="s">
        <v>929</v>
      </c>
      <c r="C925" s="7">
        <v>10</v>
      </c>
      <c r="D925" s="7" t="str">
        <f>VLOOKUP(C925,'5-Genre Codes'!$A$1:$B$11,2,FALSE)</f>
        <v>Contemporary Fiction</v>
      </c>
      <c r="E925" s="8">
        <v>2004</v>
      </c>
      <c r="F925" s="6">
        <v>11200</v>
      </c>
      <c r="G925" s="6" t="str">
        <f>VLOOKUP(F925,'4-Actor Codes'!$A$1:$B$622,2,FALSE)</f>
        <v>Caroline Rhea</v>
      </c>
      <c r="H925" s="8" t="s">
        <v>10</v>
      </c>
      <c r="I925" s="9">
        <v>73701902</v>
      </c>
      <c r="J925" s="10">
        <v>81190583</v>
      </c>
      <c r="L925" s="10">
        <v>25000000</v>
      </c>
      <c r="M925" s="13"/>
      <c r="N925" s="13"/>
      <c r="O925" s="13"/>
      <c r="P925" s="13"/>
    </row>
    <row r="926" spans="1:16" ht="31" x14ac:dyDescent="0.35">
      <c r="A926" s="5">
        <v>925</v>
      </c>
      <c r="B926" s="6" t="s">
        <v>930</v>
      </c>
      <c r="C926" s="7">
        <v>10</v>
      </c>
      <c r="D926" s="7" t="str">
        <f>VLOOKUP(C926,'5-Genre Codes'!$A$1:$B$11,2,FALSE)</f>
        <v>Contemporary Fiction</v>
      </c>
      <c r="E926" s="8">
        <v>1979</v>
      </c>
      <c r="F926" s="6">
        <v>17230</v>
      </c>
      <c r="G926" s="6" t="str">
        <f>VLOOKUP(F926,'4-Actor Codes'!$A$1:$B$622,2,FALSE)</f>
        <v>Rob Reiner</v>
      </c>
      <c r="H926" s="8" t="s">
        <v>10</v>
      </c>
      <c r="I926" s="9">
        <v>73691419</v>
      </c>
      <c r="J926" s="10">
        <v>104400000</v>
      </c>
      <c r="L926" s="10">
        <v>60000000</v>
      </c>
      <c r="M926" s="13"/>
      <c r="N926" s="13"/>
      <c r="O926" s="13"/>
      <c r="P926" s="13"/>
    </row>
    <row r="927" spans="1:16" ht="31" x14ac:dyDescent="0.35">
      <c r="A927" s="5">
        <v>926</v>
      </c>
      <c r="B927" s="6" t="s">
        <v>931</v>
      </c>
      <c r="C927" s="7">
        <v>60</v>
      </c>
      <c r="D927" s="7" t="str">
        <f>VLOOKUP(C927,'5-Genre Codes'!$A$1:$B$11,2,FALSE)</f>
        <v>Kids Fiction</v>
      </c>
      <c r="E927" s="8">
        <v>2006</v>
      </c>
      <c r="F927" s="6">
        <v>16285</v>
      </c>
      <c r="G927" s="6" t="str">
        <f>VLOOKUP(F927,'4-Actor Codes'!$A$1:$B$622,2,FALSE)</f>
        <v>Mitchel Musso</v>
      </c>
      <c r="H927" s="8" t="s">
        <v>10</v>
      </c>
      <c r="I927" s="9">
        <v>73661010</v>
      </c>
      <c r="J927" s="10">
        <v>67606360</v>
      </c>
      <c r="L927" s="10">
        <v>75000000</v>
      </c>
      <c r="M927" s="13"/>
      <c r="N927" s="13"/>
      <c r="O927" s="13"/>
      <c r="P927" s="13"/>
    </row>
    <row r="928" spans="1:16" ht="31" x14ac:dyDescent="0.35">
      <c r="A928" s="5">
        <v>927</v>
      </c>
      <c r="B928" s="6" t="s">
        <v>932</v>
      </c>
      <c r="C928" s="7">
        <v>10</v>
      </c>
      <c r="D928" s="7" t="str">
        <f>VLOOKUP(C928,'5-Genre Codes'!$A$1:$B$11,2,FALSE)</f>
        <v>Contemporary Fiction</v>
      </c>
      <c r="E928" s="8">
        <v>1999</v>
      </c>
      <c r="F928" s="6">
        <v>12580</v>
      </c>
      <c r="G928" s="6" t="str">
        <f>VLOOKUP(F928,'4-Actor Codes'!$A$1:$B$622,2,FALSE)</f>
        <v>Erinn Bartlett</v>
      </c>
      <c r="H928" s="8" t="s">
        <v>10</v>
      </c>
      <c r="I928" s="9">
        <v>73648228</v>
      </c>
      <c r="J928" s="10">
        <v>91400000</v>
      </c>
      <c r="L928" s="10">
        <v>60000000</v>
      </c>
      <c r="M928" s="13"/>
      <c r="N928" s="13"/>
      <c r="O928" s="13"/>
      <c r="P928" s="13"/>
    </row>
    <row r="929" spans="1:16" ht="31" x14ac:dyDescent="0.35">
      <c r="A929" s="5">
        <v>928</v>
      </c>
      <c r="B929" s="6" t="s">
        <v>933</v>
      </c>
      <c r="C929" s="7">
        <v>10</v>
      </c>
      <c r="D929" s="7" t="str">
        <f>VLOOKUP(C929,'5-Genre Codes'!$A$1:$B$11,2,FALSE)</f>
        <v>Contemporary Fiction</v>
      </c>
      <c r="E929" s="8">
        <v>2015</v>
      </c>
      <c r="F929" s="6">
        <v>17320</v>
      </c>
      <c r="G929" s="6" t="str">
        <f>VLOOKUP(F929,'4-Actor Codes'!$A$1:$B$622,2,FALSE)</f>
        <v>Robert De Niro</v>
      </c>
      <c r="H929" s="8" t="s">
        <v>10</v>
      </c>
      <c r="I929" s="9">
        <v>73565582</v>
      </c>
      <c r="J929" s="10">
        <v>108600000</v>
      </c>
      <c r="L929" s="10">
        <v>40000000</v>
      </c>
      <c r="M929" s="13"/>
      <c r="N929" s="13"/>
      <c r="O929" s="13"/>
      <c r="P929" s="13"/>
    </row>
    <row r="930" spans="1:16" ht="31" x14ac:dyDescent="0.35">
      <c r="A930" s="5">
        <v>929</v>
      </c>
      <c r="B930" s="6" t="s">
        <v>934</v>
      </c>
      <c r="C930" s="7">
        <v>10</v>
      </c>
      <c r="D930" s="7" t="str">
        <f>VLOOKUP(C930,'5-Genre Codes'!$A$1:$B$11,2,FALSE)</f>
        <v>Contemporary Fiction</v>
      </c>
      <c r="E930" s="8">
        <v>2009</v>
      </c>
      <c r="F930" s="6">
        <v>13780</v>
      </c>
      <c r="G930" s="6" t="str">
        <f>VLOOKUP(F930,'4-Actor Codes'!$A$1:$B$622,2,FALSE)</f>
        <v>Jason Babinsky</v>
      </c>
      <c r="H930" s="8" t="s">
        <v>10</v>
      </c>
      <c r="I930" s="9">
        <v>73357727</v>
      </c>
      <c r="J930" s="10">
        <v>57802054</v>
      </c>
      <c r="L930" s="10">
        <v>53000000</v>
      </c>
      <c r="M930" s="13"/>
      <c r="N930" s="13"/>
      <c r="O930" s="13"/>
      <c r="P930" s="13"/>
    </row>
    <row r="931" spans="1:16" ht="31" x14ac:dyDescent="0.35">
      <c r="A931" s="5">
        <v>930</v>
      </c>
      <c r="B931" s="6" t="s">
        <v>935</v>
      </c>
      <c r="C931" s="7">
        <v>40</v>
      </c>
      <c r="D931" s="7" t="str">
        <f>VLOOKUP(C931,'5-Genre Codes'!$A$1:$B$11,2,FALSE)</f>
        <v>Fantasy</v>
      </c>
      <c r="E931" s="8">
        <v>1988</v>
      </c>
      <c r="F931" s="6">
        <v>15520</v>
      </c>
      <c r="G931" s="6" t="str">
        <f>VLOOKUP(F931,'4-Actor Codes'!$A$1:$B$622,2,FALSE)</f>
        <v>Mark Ettlinger</v>
      </c>
      <c r="H931" s="8" t="s">
        <v>10</v>
      </c>
      <c r="I931" s="9">
        <v>73326666</v>
      </c>
      <c r="J931" s="10">
        <v>160963300</v>
      </c>
      <c r="L931" s="10">
        <v>150000000</v>
      </c>
      <c r="M931" s="13"/>
      <c r="N931" s="13"/>
      <c r="O931" s="13"/>
      <c r="P931" s="13"/>
    </row>
    <row r="932" spans="1:16" ht="31" x14ac:dyDescent="0.35">
      <c r="A932" s="5">
        <v>931</v>
      </c>
      <c r="B932" s="6" t="s">
        <v>936</v>
      </c>
      <c r="C932" s="7">
        <v>60</v>
      </c>
      <c r="D932" s="7" t="str">
        <f>VLOOKUP(C932,'5-Genre Codes'!$A$1:$B$11,2,FALSE)</f>
        <v>Kids Fiction</v>
      </c>
      <c r="E932" s="8">
        <v>2002</v>
      </c>
      <c r="F932" s="6">
        <v>13570</v>
      </c>
      <c r="G932" s="6" t="str">
        <f>VLOOKUP(F932,'4-Actor Codes'!$A$1:$B$622,2,FALSE)</f>
        <v>James Cromwell</v>
      </c>
      <c r="H932" s="8" t="s">
        <v>10</v>
      </c>
      <c r="I932" s="9">
        <v>73215310</v>
      </c>
      <c r="J932" s="10">
        <v>554345000</v>
      </c>
      <c r="L932" s="10">
        <v>258000000</v>
      </c>
      <c r="M932" s="13"/>
      <c r="N932" s="13"/>
      <c r="O932" s="13"/>
      <c r="P932" s="13"/>
    </row>
    <row r="933" spans="1:16" ht="31" x14ac:dyDescent="0.35">
      <c r="A933" s="5">
        <v>932</v>
      </c>
      <c r="B933" s="6" t="s">
        <v>937</v>
      </c>
      <c r="C933" s="7">
        <v>80</v>
      </c>
      <c r="D933" s="7" t="str">
        <f>VLOOKUP(C933,'5-Genre Codes'!$A$1:$B$11,2,FALSE)</f>
        <v>Science Fiction</v>
      </c>
      <c r="E933" s="8">
        <v>2000</v>
      </c>
      <c r="F933" s="6">
        <v>14275</v>
      </c>
      <c r="G933" s="6" t="str">
        <f>VLOOKUP(F933,'4-Actor Codes'!$A$1:$B$622,2,FALSE)</f>
        <v>Joey Slotnick</v>
      </c>
      <c r="H933" s="8" t="s">
        <v>10</v>
      </c>
      <c r="I933" s="9">
        <v>73209340</v>
      </c>
      <c r="J933" s="10">
        <v>117990660</v>
      </c>
      <c r="L933" s="10">
        <v>90000000</v>
      </c>
      <c r="M933" s="13"/>
      <c r="N933" s="13"/>
      <c r="O933" s="13"/>
      <c r="P933" s="13"/>
    </row>
    <row r="934" spans="1:16" ht="31" x14ac:dyDescent="0.35">
      <c r="A934" s="5">
        <v>933</v>
      </c>
      <c r="B934" s="6" t="s">
        <v>938</v>
      </c>
      <c r="C934" s="7">
        <v>10</v>
      </c>
      <c r="D934" s="7" t="str">
        <f>VLOOKUP(C934,'5-Genre Codes'!$A$1:$B$11,2,FALSE)</f>
        <v>Contemporary Fiction</v>
      </c>
      <c r="E934" s="8">
        <v>2013</v>
      </c>
      <c r="F934" s="6">
        <v>11290</v>
      </c>
      <c r="G934" s="6" t="str">
        <f>VLOOKUP(F934,'4-Actor Codes'!$A$1:$B$622,2,FALSE)</f>
        <v>Channing Tatum</v>
      </c>
      <c r="H934" s="8" t="s">
        <v>10</v>
      </c>
      <c r="I934" s="9">
        <v>73103784</v>
      </c>
      <c r="J934" s="10">
        <v>132336603</v>
      </c>
      <c r="L934" s="10">
        <v>150000000</v>
      </c>
      <c r="M934" s="13"/>
      <c r="N934" s="13"/>
      <c r="O934" s="13"/>
      <c r="P934" s="13"/>
    </row>
    <row r="935" spans="1:16" x14ac:dyDescent="0.35">
      <c r="A935" s="5">
        <v>934</v>
      </c>
      <c r="B935" s="6" t="s">
        <v>939</v>
      </c>
      <c r="C935" s="7">
        <v>80</v>
      </c>
      <c r="D935" s="7" t="str">
        <f>VLOOKUP(C935,'5-Genre Codes'!$A$1:$B$11,2,FALSE)</f>
        <v>Science Fiction</v>
      </c>
      <c r="E935" s="8">
        <v>2011</v>
      </c>
      <c r="F935" s="6">
        <v>18460</v>
      </c>
      <c r="G935" s="6" t="str">
        <f>VLOOKUP(F935,'4-Actor Codes'!$A$1:$B$622,2,FALSE)</f>
        <v>Taylor Kitsch</v>
      </c>
      <c r="H935" s="8" t="s">
        <v>10</v>
      </c>
      <c r="I935" s="9">
        <v>73058679</v>
      </c>
      <c r="J935" s="10">
        <v>209719421</v>
      </c>
      <c r="L935" s="10">
        <v>275000000</v>
      </c>
      <c r="M935" s="13"/>
      <c r="N935" s="13"/>
      <c r="O935" s="13"/>
      <c r="P935" s="13"/>
    </row>
    <row r="936" spans="1:16" x14ac:dyDescent="0.35">
      <c r="A936" s="5">
        <v>935</v>
      </c>
      <c r="B936" s="6" t="s">
        <v>940</v>
      </c>
      <c r="C936" s="7">
        <v>60</v>
      </c>
      <c r="D936" s="7" t="str">
        <f>VLOOKUP(C936,'5-Genre Codes'!$A$1:$B$11,2,FALSE)</f>
        <v>Kids Fiction</v>
      </c>
      <c r="E936" s="8">
        <v>2009</v>
      </c>
      <c r="F936" s="6">
        <v>17440</v>
      </c>
      <c r="G936" s="6" t="str">
        <f>VLOOKUP(F936,'4-Actor Codes'!$A$1:$B$622,2,FALSE)</f>
        <v>Robinne Lee</v>
      </c>
      <c r="H936" s="8" t="s">
        <v>10</v>
      </c>
      <c r="I936" s="9">
        <v>73034460</v>
      </c>
      <c r="J936" s="10">
        <v>94829853</v>
      </c>
      <c r="L936" s="10">
        <v>0</v>
      </c>
      <c r="M936" s="13"/>
      <c r="N936" s="13"/>
      <c r="O936" s="13"/>
      <c r="P936" s="13"/>
    </row>
    <row r="937" spans="1:16" ht="31" x14ac:dyDescent="0.35">
      <c r="A937" s="5">
        <v>936</v>
      </c>
      <c r="B937" s="6" t="s">
        <v>941</v>
      </c>
      <c r="C937" s="7">
        <v>10</v>
      </c>
      <c r="D937" s="7" t="str">
        <f>VLOOKUP(C937,'5-Genre Codes'!$A$1:$B$11,2,FALSE)</f>
        <v>Contemporary Fiction</v>
      </c>
      <c r="E937" s="8">
        <v>2010</v>
      </c>
      <c r="F937" s="6">
        <v>17515</v>
      </c>
      <c r="G937" s="6" t="str">
        <f>VLOOKUP(F937,'4-Actor Codes'!$A$1:$B$622,2,FALSE)</f>
        <v>Ron Livingston</v>
      </c>
      <c r="H937" s="8" t="s">
        <v>10</v>
      </c>
      <c r="I937" s="9">
        <v>73026337</v>
      </c>
      <c r="J937" s="10">
        <v>266089167</v>
      </c>
      <c r="L937" s="10">
        <v>90000000</v>
      </c>
      <c r="M937" s="13"/>
      <c r="N937" s="13"/>
      <c r="O937" s="13"/>
      <c r="P937" s="13"/>
    </row>
    <row r="938" spans="1:16" ht="31" x14ac:dyDescent="0.35">
      <c r="A938" s="5">
        <v>937</v>
      </c>
      <c r="B938" s="6" t="s">
        <v>942</v>
      </c>
      <c r="C938" s="7">
        <v>30</v>
      </c>
      <c r="D938" s="7" t="str">
        <f>VLOOKUP(C938,'5-Genre Codes'!$A$1:$B$11,2,FALSE)</f>
        <v>Factual</v>
      </c>
      <c r="E938" s="8">
        <v>2010</v>
      </c>
      <c r="F938" s="6">
        <v>14620</v>
      </c>
      <c r="G938" s="6" t="str">
        <f>VLOOKUP(F938,'4-Actor Codes'!$A$1:$B$622,2,FALSE)</f>
        <v>Justin Bieber</v>
      </c>
      <c r="H938" s="8" t="s">
        <v>10</v>
      </c>
      <c r="I938" s="9">
        <v>73013910</v>
      </c>
      <c r="J938" s="10">
        <v>111946844</v>
      </c>
      <c r="L938" s="10">
        <v>80000000</v>
      </c>
      <c r="M938" s="13"/>
      <c r="N938" s="13"/>
      <c r="O938" s="13"/>
      <c r="P938" s="13"/>
    </row>
    <row r="939" spans="1:16" x14ac:dyDescent="0.35">
      <c r="A939" s="5">
        <v>938</v>
      </c>
      <c r="B939" s="6" t="s">
        <v>943</v>
      </c>
      <c r="C939" s="7">
        <v>50</v>
      </c>
      <c r="D939" s="7" t="str">
        <f>VLOOKUP(C939,'5-Genre Codes'!$A$1:$B$11,2,FALSE)</f>
        <v>Historical Fiction</v>
      </c>
      <c r="E939" s="8">
        <v>1959</v>
      </c>
      <c r="F939" s="6">
        <v>17710</v>
      </c>
      <c r="G939" s="6" t="str">
        <f>VLOOKUP(F939,'4-Actor Codes'!$A$1:$B$622,2,FALSE)</f>
        <v>Sam Jaffe</v>
      </c>
      <c r="H939" s="8" t="s">
        <v>10</v>
      </c>
      <c r="I939" s="9">
        <v>73000000</v>
      </c>
      <c r="J939" s="10">
        <v>160963300</v>
      </c>
      <c r="K939" s="11" t="s">
        <v>1010</v>
      </c>
      <c r="L939" s="10">
        <v>150000000</v>
      </c>
      <c r="M939" s="13"/>
      <c r="N939" s="13"/>
      <c r="O939" s="13"/>
      <c r="P939" s="13"/>
    </row>
    <row r="940" spans="1:16" x14ac:dyDescent="0.35">
      <c r="A940" s="5">
        <v>939</v>
      </c>
      <c r="B940" s="6" t="s">
        <v>944</v>
      </c>
      <c r="C940" s="7">
        <v>60</v>
      </c>
      <c r="D940" s="7" t="str">
        <f>VLOOKUP(C940,'5-Genre Codes'!$A$1:$B$11,2,FALSE)</f>
        <v>Kids Fiction</v>
      </c>
      <c r="E940" s="8">
        <v>2006</v>
      </c>
      <c r="F940" s="6">
        <v>16930</v>
      </c>
      <c r="G940" s="6" t="str">
        <f>VLOOKUP(F940,'4-Actor Codes'!$A$1:$B$622,2,FALSE)</f>
        <v>Phil Proctor</v>
      </c>
      <c r="H940" s="8" t="s">
        <v>10</v>
      </c>
      <c r="I940" s="9">
        <v>72779000</v>
      </c>
      <c r="J940" s="10">
        <v>165203000</v>
      </c>
      <c r="L940" s="10">
        <v>0</v>
      </c>
      <c r="M940" s="13"/>
      <c r="N940" s="13"/>
      <c r="O940" s="13"/>
      <c r="P940" s="13"/>
    </row>
    <row r="941" spans="1:16" ht="31" x14ac:dyDescent="0.35">
      <c r="A941" s="5">
        <v>940</v>
      </c>
      <c r="B941" s="6" t="s">
        <v>945</v>
      </c>
      <c r="C941" s="7">
        <v>30</v>
      </c>
      <c r="D941" s="7" t="str">
        <f>VLOOKUP(C941,'5-Genre Codes'!$A$1:$B$11,2,FALSE)</f>
        <v>Factual</v>
      </c>
      <c r="E941" s="8">
        <v>2006</v>
      </c>
      <c r="F941" s="6">
        <v>11920</v>
      </c>
      <c r="G941" s="6" t="str">
        <f>VLOOKUP(F941,'4-Actor Codes'!$A$1:$B$622,2,FALSE)</f>
        <v>Dave England</v>
      </c>
      <c r="H941" s="8" t="s">
        <v>13</v>
      </c>
      <c r="I941" s="9">
        <v>72778712</v>
      </c>
      <c r="J941" s="10">
        <v>58900000</v>
      </c>
      <c r="L941" s="10">
        <v>15000000</v>
      </c>
      <c r="M941" s="13"/>
      <c r="N941" s="13"/>
      <c r="O941" s="13"/>
      <c r="P941" s="13"/>
    </row>
    <row r="942" spans="1:16" ht="31" x14ac:dyDescent="0.35">
      <c r="A942" s="5">
        <v>941</v>
      </c>
      <c r="B942" s="6" t="s">
        <v>638</v>
      </c>
      <c r="C942" s="7">
        <v>40</v>
      </c>
      <c r="D942" s="7" t="str">
        <f>VLOOKUP(C942,'5-Genre Codes'!$A$1:$B$11,2,FALSE)</f>
        <v>Fantasy</v>
      </c>
      <c r="E942" s="8">
        <v>2013</v>
      </c>
      <c r="F942" s="6">
        <v>12355</v>
      </c>
      <c r="G942" s="6" t="str">
        <f>VLOOKUP(F942,'4-Actor Codes'!$A$1:$B$622,2,FALSE)</f>
        <v>Dwayne Johnson</v>
      </c>
      <c r="H942" s="8" t="s">
        <v>10</v>
      </c>
      <c r="I942" s="9">
        <v>72688614</v>
      </c>
      <c r="J942" s="10">
        <v>170700000</v>
      </c>
      <c r="L942" s="10">
        <v>100000000</v>
      </c>
      <c r="M942" s="13"/>
      <c r="N942" s="13"/>
      <c r="O942" s="13"/>
      <c r="P942" s="13"/>
    </row>
    <row r="943" spans="1:16" ht="31" x14ac:dyDescent="0.35">
      <c r="A943" s="5">
        <v>942</v>
      </c>
      <c r="B943" s="6" t="s">
        <v>946</v>
      </c>
      <c r="C943" s="7">
        <v>10</v>
      </c>
      <c r="D943" s="7" t="str">
        <f>VLOOKUP(C943,'5-Genre Codes'!$A$1:$B$11,2,FALSE)</f>
        <v>Contemporary Fiction</v>
      </c>
      <c r="E943" s="8">
        <v>2005</v>
      </c>
      <c r="F943" s="6">
        <v>16495</v>
      </c>
      <c r="G943" s="6" t="str">
        <f>VLOOKUP(F943,'4-Actor Codes'!$A$1:$B$622,2,FALSE)</f>
        <v>Nicole Kidman</v>
      </c>
      <c r="H943" s="8" t="s">
        <v>10</v>
      </c>
      <c r="I943" s="9">
        <v>72515360</v>
      </c>
      <c r="J943" s="10">
        <v>90045676</v>
      </c>
      <c r="L943" s="10">
        <v>90000000</v>
      </c>
      <c r="M943" s="13"/>
      <c r="N943" s="13"/>
      <c r="O943" s="13"/>
      <c r="P943" s="13"/>
    </row>
    <row r="944" spans="1:16" ht="31" x14ac:dyDescent="0.35">
      <c r="A944" s="5">
        <v>943</v>
      </c>
      <c r="B944" s="6" t="s">
        <v>947</v>
      </c>
      <c r="C944" s="7">
        <v>20</v>
      </c>
      <c r="D944" s="7" t="str">
        <f>VLOOKUP(C944,'5-Genre Codes'!$A$1:$B$11,2,FALSE)</f>
        <v>Dramatization</v>
      </c>
      <c r="E944" s="8">
        <v>2011</v>
      </c>
      <c r="F944" s="6">
        <v>13135</v>
      </c>
      <c r="G944" s="6" t="str">
        <f>VLOOKUP(F944,'4-Actor Codes'!$A$1:$B$622,2,FALSE)</f>
        <v>Harry Connick, Jr.</v>
      </c>
      <c r="H944" s="8" t="s">
        <v>10</v>
      </c>
      <c r="I944" s="9">
        <v>72286779</v>
      </c>
      <c r="J944" s="10">
        <v>53464968</v>
      </c>
      <c r="L944" s="10">
        <v>30000000</v>
      </c>
      <c r="M944" s="13"/>
      <c r="N944" s="13"/>
      <c r="O944" s="13"/>
      <c r="P944" s="13"/>
    </row>
    <row r="945" spans="1:16" ht="31" x14ac:dyDescent="0.35">
      <c r="A945" s="5">
        <v>944</v>
      </c>
      <c r="B945" s="6" t="s">
        <v>948</v>
      </c>
      <c r="C945" s="7">
        <v>10</v>
      </c>
      <c r="D945" s="7" t="str">
        <f>VLOOKUP(C945,'5-Genre Codes'!$A$1:$B$11,2,FALSE)</f>
        <v>Contemporary Fiction</v>
      </c>
      <c r="E945" s="8">
        <v>2008</v>
      </c>
      <c r="F945" s="6">
        <v>15760</v>
      </c>
      <c r="G945" s="6" t="str">
        <f>VLOOKUP(F945,'4-Actor Codes'!$A$1:$B$622,2,FALSE)</f>
        <v>Matthew Fox</v>
      </c>
      <c r="H945" s="8" t="s">
        <v>10</v>
      </c>
      <c r="I945" s="9">
        <v>72266306</v>
      </c>
      <c r="J945" s="10">
        <v>78620023</v>
      </c>
      <c r="L945" s="10">
        <v>40000000</v>
      </c>
      <c r="M945" s="13"/>
      <c r="N945" s="13"/>
      <c r="O945" s="13"/>
      <c r="P945" s="13"/>
    </row>
    <row r="946" spans="1:16" ht="31" x14ac:dyDescent="0.35">
      <c r="A946" s="5">
        <v>945</v>
      </c>
      <c r="B946" s="6" t="s">
        <v>949</v>
      </c>
      <c r="C946" s="7">
        <v>10</v>
      </c>
      <c r="D946" s="7" t="str">
        <f>VLOOKUP(C946,'5-Genre Codes'!$A$1:$B$11,2,FALSE)</f>
        <v>Contemporary Fiction</v>
      </c>
      <c r="E946" s="8">
        <v>1997</v>
      </c>
      <c r="F946" s="6">
        <v>16690</v>
      </c>
      <c r="G946" s="6" t="str">
        <f>VLOOKUP(F946,'4-Actor Codes'!$A$1:$B$622,2,FALSE)</f>
        <v>Patti D'Arbanville</v>
      </c>
      <c r="H946" s="8" t="s">
        <v>10</v>
      </c>
      <c r="I946" s="9">
        <v>72219395</v>
      </c>
      <c r="J946" s="10">
        <v>91094722</v>
      </c>
      <c r="L946" s="10">
        <v>50000000</v>
      </c>
      <c r="M946" s="13"/>
      <c r="N946" s="13"/>
      <c r="O946" s="13"/>
      <c r="P946" s="13"/>
    </row>
    <row r="947" spans="1:16" ht="31" x14ac:dyDescent="0.35">
      <c r="A947" s="5">
        <v>946</v>
      </c>
      <c r="B947" s="6" t="s">
        <v>950</v>
      </c>
      <c r="C947" s="7">
        <v>30</v>
      </c>
      <c r="D947" s="7" t="str">
        <f>VLOOKUP(C947,'5-Genre Codes'!$A$1:$B$11,2,FALSE)</f>
        <v>Factual</v>
      </c>
      <c r="E947" s="8">
        <v>2009</v>
      </c>
      <c r="F947" s="6">
        <v>16075</v>
      </c>
      <c r="G947" s="6" t="str">
        <f>VLOOKUP(F947,'4-Actor Codes'!$A$1:$B$622,2,FALSE)</f>
        <v>Michael Jackson</v>
      </c>
      <c r="H947" s="8" t="s">
        <v>10</v>
      </c>
      <c r="I947" s="9">
        <v>72091016</v>
      </c>
      <c r="J947" s="10">
        <v>180000000</v>
      </c>
      <c r="L947" s="10">
        <v>60000000</v>
      </c>
      <c r="M947" s="13"/>
      <c r="N947" s="13"/>
      <c r="O947" s="13"/>
      <c r="P947" s="13"/>
    </row>
    <row r="948" spans="1:16" ht="31" x14ac:dyDescent="0.35">
      <c r="A948" s="5">
        <v>947</v>
      </c>
      <c r="B948" s="6" t="s">
        <v>951</v>
      </c>
      <c r="C948" s="7">
        <v>10</v>
      </c>
      <c r="D948" s="7" t="str">
        <f>VLOOKUP(C948,'5-Genre Codes'!$A$1:$B$11,2,FALSE)</f>
        <v>Contemporary Fiction</v>
      </c>
      <c r="E948" s="8">
        <v>2007</v>
      </c>
      <c r="F948" s="6">
        <v>17470</v>
      </c>
      <c r="G948" s="6" t="str">
        <f>VLOOKUP(F948,'4-Actor Codes'!$A$1:$B$622,2,FALSE)</f>
        <v>Roger Clinton</v>
      </c>
      <c r="H948" s="8" t="s">
        <v>10</v>
      </c>
      <c r="I948" s="9">
        <v>72006777</v>
      </c>
      <c r="J948" s="10">
        <v>50600000</v>
      </c>
      <c r="L948" s="10">
        <v>26000000</v>
      </c>
      <c r="M948" s="13"/>
      <c r="N948" s="13"/>
      <c r="O948" s="13"/>
      <c r="P948" s="13"/>
    </row>
    <row r="949" spans="1:16" ht="31" x14ac:dyDescent="0.35">
      <c r="A949" s="5">
        <v>948</v>
      </c>
      <c r="B949" s="6" t="s">
        <v>952</v>
      </c>
      <c r="C949" s="7">
        <v>50</v>
      </c>
      <c r="D949" s="7" t="str">
        <f>VLOOKUP(C949,'5-Genre Codes'!$A$1:$B$11,2,FALSE)</f>
        <v>Historical Fiction</v>
      </c>
      <c r="E949" s="8">
        <v>1964</v>
      </c>
      <c r="F949" s="6">
        <v>10540</v>
      </c>
      <c r="G949" s="6" t="str">
        <f>VLOOKUP(F949,'4-Actor Codes'!$A$1:$B$622,2,FALSE)</f>
        <v>Audrey Hepburn</v>
      </c>
      <c r="H949" s="8" t="s">
        <v>10</v>
      </c>
      <c r="I949" s="9">
        <v>72000000</v>
      </c>
      <c r="J949" s="10">
        <v>133451826</v>
      </c>
      <c r="K949" s="11" t="s">
        <v>1010</v>
      </c>
      <c r="L949" s="10">
        <v>5000000</v>
      </c>
      <c r="M949" s="13"/>
      <c r="N949" s="13"/>
      <c r="O949" s="13"/>
      <c r="P949" s="13"/>
    </row>
    <row r="950" spans="1:16" ht="31" x14ac:dyDescent="0.35">
      <c r="A950" s="5">
        <v>949</v>
      </c>
      <c r="B950" s="6" t="s">
        <v>953</v>
      </c>
      <c r="C950" s="7">
        <v>10</v>
      </c>
      <c r="D950" s="7" t="str">
        <f>VLOOKUP(C950,'5-Genre Codes'!$A$1:$B$11,2,FALSE)</f>
        <v>Contemporary Fiction</v>
      </c>
      <c r="E950" s="8">
        <v>2007</v>
      </c>
      <c r="F950" s="6">
        <v>15175</v>
      </c>
      <c r="G950" s="6" t="str">
        <f>VLOOKUP(F950,'4-Actor Codes'!$A$1:$B$622,2,FALSE)</f>
        <v>Len Cariou</v>
      </c>
      <c r="H950" s="8" t="s">
        <v>10</v>
      </c>
      <c r="I950" s="9">
        <v>71975611</v>
      </c>
      <c r="J950" s="10">
        <v>59277742</v>
      </c>
      <c r="L950" s="10">
        <v>22500000</v>
      </c>
      <c r="M950" s="13"/>
      <c r="N950" s="13"/>
      <c r="O950" s="13"/>
      <c r="P950" s="13"/>
    </row>
    <row r="951" spans="1:16" ht="31" x14ac:dyDescent="0.35">
      <c r="A951" s="5">
        <v>950</v>
      </c>
      <c r="B951" s="6" t="s">
        <v>954</v>
      </c>
      <c r="C951" s="7">
        <v>50</v>
      </c>
      <c r="D951" s="7" t="str">
        <f>VLOOKUP(C951,'5-Genre Codes'!$A$1:$B$11,2,FALSE)</f>
        <v>Historical Fiction</v>
      </c>
      <c r="E951" s="8">
        <v>1992</v>
      </c>
      <c r="F951" s="6">
        <v>12025</v>
      </c>
      <c r="G951" s="6" t="str">
        <f>VLOOKUP(F951,'4-Actor Codes'!$A$1:$B$622,2,FALSE)</f>
        <v>David Schofield</v>
      </c>
      <c r="H951" s="8" t="s">
        <v>10</v>
      </c>
      <c r="I951" s="9">
        <v>71759298</v>
      </c>
      <c r="J951" s="10">
        <v>187941694</v>
      </c>
      <c r="L951" s="10">
        <v>150000000</v>
      </c>
      <c r="M951" s="13"/>
      <c r="N951" s="13"/>
      <c r="O951" s="13"/>
      <c r="P951" s="13"/>
    </row>
    <row r="952" spans="1:16" ht="31" x14ac:dyDescent="0.35">
      <c r="A952" s="5">
        <v>951</v>
      </c>
      <c r="B952" s="6" t="s">
        <v>955</v>
      </c>
      <c r="C952" s="7">
        <v>10</v>
      </c>
      <c r="D952" s="7" t="str">
        <f>VLOOKUP(C952,'5-Genre Codes'!$A$1:$B$11,2,FALSE)</f>
        <v>Contemporary Fiction</v>
      </c>
      <c r="E952" s="8">
        <v>1995</v>
      </c>
      <c r="F952" s="6">
        <v>13150</v>
      </c>
      <c r="G952" s="6" t="str">
        <f>VLOOKUP(F952,'4-Actor Codes'!$A$1:$B$622,2,FALSE)</f>
        <v>Harvey Keitel</v>
      </c>
      <c r="H952" s="8" t="s">
        <v>10</v>
      </c>
      <c r="I952" s="9">
        <v>71752669</v>
      </c>
      <c r="J952" s="10">
        <v>173381071</v>
      </c>
      <c r="L952" s="10">
        <v>150000000</v>
      </c>
      <c r="M952" s="13"/>
      <c r="N952" s="13"/>
      <c r="O952" s="13"/>
      <c r="P952" s="13"/>
    </row>
    <row r="953" spans="1:16" ht="31" x14ac:dyDescent="0.35">
      <c r="A953" s="5">
        <v>952</v>
      </c>
      <c r="B953" s="6" t="s">
        <v>956</v>
      </c>
      <c r="C953" s="7">
        <v>40</v>
      </c>
      <c r="D953" s="7" t="str">
        <f>VLOOKUP(C953,'5-Genre Codes'!$A$1:$B$11,2,FALSE)</f>
        <v>Fantasy</v>
      </c>
      <c r="E953" s="8">
        <v>2012</v>
      </c>
      <c r="F953" s="6">
        <v>14125</v>
      </c>
      <c r="G953" s="6" t="str">
        <f>VLOOKUP(F953,'4-Actor Codes'!$A$1:$B$622,2,FALSE)</f>
        <v>Jessica Chastain</v>
      </c>
      <c r="H953" s="8" t="s">
        <v>10</v>
      </c>
      <c r="I953" s="9">
        <v>71628180</v>
      </c>
      <c r="J953" s="10">
        <v>76467386</v>
      </c>
      <c r="L953" s="10">
        <v>15000000</v>
      </c>
      <c r="M953" s="13"/>
      <c r="N953" s="13"/>
      <c r="O953" s="13"/>
      <c r="P953" s="13"/>
    </row>
    <row r="954" spans="1:16" ht="31" x14ac:dyDescent="0.35">
      <c r="A954" s="5">
        <v>953</v>
      </c>
      <c r="B954" s="6" t="s">
        <v>957</v>
      </c>
      <c r="C954" s="7">
        <v>10</v>
      </c>
      <c r="D954" s="7" t="str">
        <f>VLOOKUP(C954,'5-Genre Codes'!$A$1:$B$11,2,FALSE)</f>
        <v>Contemporary Fiction</v>
      </c>
      <c r="E954" s="8">
        <v>1994</v>
      </c>
      <c r="F954" s="6">
        <v>17065</v>
      </c>
      <c r="G954" s="6" t="str">
        <f>VLOOKUP(F954,'4-Actor Codes'!$A$1:$B$622,2,FALSE)</f>
        <v>Randall 'Tex' Cobb</v>
      </c>
      <c r="H954" s="8" t="s">
        <v>10</v>
      </c>
      <c r="I954" s="9">
        <v>71602138</v>
      </c>
      <c r="J954" s="10">
        <v>102300000</v>
      </c>
      <c r="L954" s="10">
        <v>30000000</v>
      </c>
      <c r="M954" s="13"/>
      <c r="N954" s="13"/>
      <c r="O954" s="13"/>
      <c r="P954" s="13"/>
    </row>
    <row r="955" spans="1:16" x14ac:dyDescent="0.35">
      <c r="A955" s="5">
        <v>954</v>
      </c>
      <c r="B955" s="6" t="s">
        <v>958</v>
      </c>
      <c r="C955" s="7">
        <v>80</v>
      </c>
      <c r="D955" s="7" t="str">
        <f>VLOOKUP(C955,'5-Genre Codes'!$A$1:$B$11,2,FALSE)</f>
        <v>Science Fiction</v>
      </c>
      <c r="E955" s="8">
        <v>2014</v>
      </c>
      <c r="F955" s="6">
        <v>12730</v>
      </c>
      <c r="G955" s="6" t="str">
        <f>VLOOKUP(F955,'4-Actor Codes'!$A$1:$B$622,2,FALSE)</f>
        <v>Frank Grillo</v>
      </c>
      <c r="H955" s="8" t="s">
        <v>13</v>
      </c>
      <c r="I955" s="9">
        <v>71562550</v>
      </c>
      <c r="J955" s="10">
        <v>150751686</v>
      </c>
      <c r="L955" s="10">
        <v>40000000</v>
      </c>
      <c r="M955" s="13"/>
      <c r="N955" s="13"/>
      <c r="O955" s="13"/>
      <c r="P955" s="13"/>
    </row>
    <row r="956" spans="1:16" ht="46.5" x14ac:dyDescent="0.35">
      <c r="A956" s="5">
        <v>955</v>
      </c>
      <c r="B956" s="6" t="s">
        <v>959</v>
      </c>
      <c r="C956" s="7">
        <v>10</v>
      </c>
      <c r="D956" s="7" t="str">
        <f>VLOOKUP(C956,'5-Genre Codes'!$A$1:$B$11,2,FALSE)</f>
        <v>Contemporary Fiction</v>
      </c>
      <c r="E956" s="8">
        <v>2004</v>
      </c>
      <c r="F956" s="6">
        <v>18535</v>
      </c>
      <c r="G956" s="6" t="str">
        <f>VLOOKUP(F956,'4-Actor Codes'!$A$1:$B$622,2,FALSE)</f>
        <v>Thomas Haden Church</v>
      </c>
      <c r="H956" s="8" t="s">
        <v>10</v>
      </c>
      <c r="I956" s="9">
        <v>71502303</v>
      </c>
      <c r="J956" s="10">
        <v>171448848</v>
      </c>
      <c r="L956" s="10">
        <v>80000000</v>
      </c>
      <c r="M956" s="13"/>
      <c r="N956" s="13"/>
      <c r="O956" s="13"/>
      <c r="P956" s="13"/>
    </row>
    <row r="957" spans="1:16" ht="31" x14ac:dyDescent="0.35">
      <c r="A957" s="5">
        <v>956</v>
      </c>
      <c r="B957" s="6" t="s">
        <v>960</v>
      </c>
      <c r="C957" s="7">
        <v>10</v>
      </c>
      <c r="D957" s="7" t="str">
        <f>VLOOKUP(C957,'5-Genre Codes'!$A$1:$B$11,2,FALSE)</f>
        <v>Contemporary Fiction</v>
      </c>
      <c r="E957" s="8">
        <v>2001</v>
      </c>
      <c r="F957" s="6">
        <v>12895</v>
      </c>
      <c r="G957" s="6" t="str">
        <f>VLOOKUP(F957,'4-Actor Codes'!$A$1:$B$622,2,FALSE)</f>
        <v>Gemma Jones</v>
      </c>
      <c r="H957" s="8" t="s">
        <v>10</v>
      </c>
      <c r="I957" s="9">
        <v>71500556</v>
      </c>
      <c r="J957" s="10">
        <v>210026602</v>
      </c>
      <c r="L957" s="10">
        <v>25000000</v>
      </c>
      <c r="M957" s="13"/>
      <c r="N957" s="13"/>
      <c r="O957" s="13"/>
      <c r="P957" s="13"/>
    </row>
    <row r="958" spans="1:16" ht="31" x14ac:dyDescent="0.35">
      <c r="A958" s="5">
        <v>957</v>
      </c>
      <c r="B958" s="6" t="s">
        <v>961</v>
      </c>
      <c r="C958" s="7">
        <v>10</v>
      </c>
      <c r="D958" s="7" t="str">
        <f>VLOOKUP(C958,'5-Genre Codes'!$A$1:$B$11,2,FALSE)</f>
        <v>Contemporary Fiction</v>
      </c>
      <c r="E958" s="8">
        <v>1995</v>
      </c>
      <c r="F958" s="6">
        <v>18115</v>
      </c>
      <c r="G958" s="6" t="str">
        <f>VLOOKUP(F958,'4-Actor Codes'!$A$1:$B$622,2,FALSE)</f>
        <v>Sophia Loren</v>
      </c>
      <c r="H958" s="8" t="s">
        <v>13</v>
      </c>
      <c r="I958" s="9">
        <v>71499832</v>
      </c>
      <c r="J958" s="10">
        <v>113355283</v>
      </c>
      <c r="L958" s="10">
        <v>80000000</v>
      </c>
      <c r="M958" s="13"/>
      <c r="N958" s="13"/>
      <c r="O958" s="13"/>
      <c r="P958" s="13"/>
    </row>
    <row r="959" spans="1:16" ht="31" x14ac:dyDescent="0.35">
      <c r="A959" s="5">
        <v>958</v>
      </c>
      <c r="B959" s="6" t="s">
        <v>962</v>
      </c>
      <c r="C959" s="7">
        <v>50</v>
      </c>
      <c r="D959" s="7" t="str">
        <f>VLOOKUP(C959,'5-Genre Codes'!$A$1:$B$11,2,FALSE)</f>
        <v>Historical Fiction</v>
      </c>
      <c r="E959" s="8">
        <v>1995</v>
      </c>
      <c r="F959" s="6">
        <v>10450</v>
      </c>
      <c r="G959" s="6" t="str">
        <f>VLOOKUP(F959,'4-Actor Codes'!$A$1:$B$622,2,FALSE)</f>
        <v>Annie Corley</v>
      </c>
      <c r="H959" s="8" t="s">
        <v>10</v>
      </c>
      <c r="I959" s="9">
        <v>71477088</v>
      </c>
      <c r="J959" s="10">
        <v>104000000</v>
      </c>
      <c r="L959" s="10">
        <v>22000000</v>
      </c>
      <c r="M959" s="13"/>
      <c r="N959" s="13"/>
      <c r="O959" s="13"/>
      <c r="P959" s="13"/>
    </row>
    <row r="960" spans="1:16" ht="31" x14ac:dyDescent="0.35">
      <c r="A960" s="5">
        <v>959</v>
      </c>
      <c r="B960" s="6" t="s">
        <v>963</v>
      </c>
      <c r="C960" s="7">
        <v>10</v>
      </c>
      <c r="D960" s="7" t="str">
        <f>VLOOKUP(C960,'5-Genre Codes'!$A$1:$B$11,2,FALSE)</f>
        <v>Contemporary Fiction</v>
      </c>
      <c r="E960" s="8">
        <v>2006</v>
      </c>
      <c r="F960" s="6">
        <v>17425</v>
      </c>
      <c r="G960" s="6" t="str">
        <f>VLOOKUP(F960,'4-Actor Codes'!$A$1:$B$622,2,FALSE)</f>
        <v>Robin Williams</v>
      </c>
      <c r="H960" s="8" t="s">
        <v>10</v>
      </c>
      <c r="I960" s="9">
        <v>71452035</v>
      </c>
      <c r="J960" s="10">
        <v>422323651</v>
      </c>
      <c r="L960" s="10">
        <v>230000000</v>
      </c>
      <c r="M960" s="13"/>
      <c r="N960" s="13"/>
      <c r="O960" s="13"/>
      <c r="P960" s="13"/>
    </row>
    <row r="961" spans="1:16" ht="31" x14ac:dyDescent="0.35">
      <c r="A961" s="5">
        <v>960</v>
      </c>
      <c r="B961" s="6" t="s">
        <v>964</v>
      </c>
      <c r="C961" s="7">
        <v>10</v>
      </c>
      <c r="D961" s="7" t="str">
        <f>VLOOKUP(C961,'5-Genre Codes'!$A$1:$B$11,2,FALSE)</f>
        <v>Contemporary Fiction</v>
      </c>
      <c r="E961" s="8">
        <v>2009</v>
      </c>
      <c r="F961" s="6">
        <v>13390</v>
      </c>
      <c r="G961" s="6" t="str">
        <f>VLOOKUP(F961,'4-Actor Codes'!$A$1:$B$622,2,FALSE)</f>
        <v>J.K. Simmons</v>
      </c>
      <c r="H961" s="8" t="s">
        <v>10</v>
      </c>
      <c r="I961" s="9">
        <v>71440011</v>
      </c>
      <c r="J961" s="10">
        <v>91094722</v>
      </c>
      <c r="L961" s="10">
        <v>50000000</v>
      </c>
      <c r="M961" s="13"/>
      <c r="N961" s="13"/>
      <c r="O961" s="13"/>
      <c r="P961" s="13"/>
    </row>
    <row r="962" spans="1:16" x14ac:dyDescent="0.35">
      <c r="A962" s="5">
        <v>961</v>
      </c>
      <c r="B962" s="6" t="s">
        <v>965</v>
      </c>
      <c r="C962" s="7">
        <v>80</v>
      </c>
      <c r="D962" s="7" t="str">
        <f>VLOOKUP(C962,'5-Genre Codes'!$A$1:$B$11,2,FALSE)</f>
        <v>Science Fiction</v>
      </c>
      <c r="E962" s="8">
        <v>1999</v>
      </c>
      <c r="F962" s="6">
        <v>19105</v>
      </c>
      <c r="G962" s="6" t="str">
        <f>VLOOKUP(F962,'4-Actor Codes'!$A$1:$B$622,2,FALSE)</f>
        <v>Wayne Pere</v>
      </c>
      <c r="H962" s="8" t="s">
        <v>10</v>
      </c>
      <c r="I962" s="9">
        <v>71423726</v>
      </c>
      <c r="J962" s="10">
        <v>190222267</v>
      </c>
      <c r="L962" s="10">
        <v>34000000</v>
      </c>
      <c r="M962" s="13"/>
      <c r="N962" s="13"/>
      <c r="O962" s="13"/>
      <c r="P962" s="13"/>
    </row>
    <row r="963" spans="1:16" ht="31" x14ac:dyDescent="0.35">
      <c r="A963" s="5">
        <v>962</v>
      </c>
      <c r="B963" s="6" t="s">
        <v>966</v>
      </c>
      <c r="C963" s="7">
        <v>10</v>
      </c>
      <c r="D963" s="7" t="str">
        <f>VLOOKUP(C963,'5-Genre Codes'!$A$1:$B$11,2,FALSE)</f>
        <v>Contemporary Fiction</v>
      </c>
      <c r="E963" s="8">
        <v>2011</v>
      </c>
      <c r="F963" s="6">
        <v>14470</v>
      </c>
      <c r="G963" s="6" t="str">
        <f>VLOOKUP(F963,'4-Actor Codes'!$A$1:$B$622,2,FALSE)</f>
        <v>Josh Duhamel</v>
      </c>
      <c r="H963" s="8" t="s">
        <v>10</v>
      </c>
      <c r="I963" s="9">
        <v>71399120</v>
      </c>
      <c r="J963" s="10">
        <v>90277151</v>
      </c>
      <c r="L963" s="10">
        <v>70000000</v>
      </c>
      <c r="M963" s="13"/>
      <c r="N963" s="13"/>
      <c r="O963" s="13"/>
      <c r="P963" s="13"/>
    </row>
    <row r="964" spans="1:16" ht="31" x14ac:dyDescent="0.35">
      <c r="A964" s="5">
        <v>963</v>
      </c>
      <c r="B964" s="6" t="s">
        <v>967</v>
      </c>
      <c r="C964" s="7">
        <v>80</v>
      </c>
      <c r="D964" s="7" t="str">
        <f>VLOOKUP(C964,'5-Genre Codes'!$A$1:$B$11,2,FALSE)</f>
        <v>Science Fiction</v>
      </c>
      <c r="E964" s="8">
        <v>1994</v>
      </c>
      <c r="F964" s="6">
        <v>13690</v>
      </c>
      <c r="G964" s="6" t="str">
        <f>VLOOKUP(F964,'4-Actor Codes'!$A$1:$B$622,2,FALSE)</f>
        <v>James Spader</v>
      </c>
      <c r="H964" s="8" t="s">
        <v>10</v>
      </c>
      <c r="I964" s="9">
        <v>71346004</v>
      </c>
      <c r="J964" s="10">
        <v>125000000</v>
      </c>
      <c r="L964" s="10">
        <v>55000000</v>
      </c>
      <c r="M964" s="13"/>
      <c r="N964" s="13"/>
      <c r="O964" s="13"/>
      <c r="P964" s="13"/>
    </row>
    <row r="965" spans="1:16" ht="31" x14ac:dyDescent="0.35">
      <c r="A965" s="5">
        <v>964</v>
      </c>
      <c r="B965" s="6" t="s">
        <v>968</v>
      </c>
      <c r="C965" s="7">
        <v>10</v>
      </c>
      <c r="D965" s="7" t="str">
        <f>VLOOKUP(C965,'5-Genre Codes'!$A$1:$B$11,2,FALSE)</f>
        <v>Contemporary Fiction</v>
      </c>
      <c r="E965" s="8">
        <v>1990</v>
      </c>
      <c r="F965" s="6">
        <v>12655</v>
      </c>
      <c r="G965" s="6" t="str">
        <f>VLOOKUP(F965,'4-Actor Codes'!$A$1:$B$622,2,FALSE)</f>
        <v>Fiona Shaw</v>
      </c>
      <c r="H965" s="8" t="s">
        <v>13</v>
      </c>
      <c r="I965" s="9">
        <v>71338379</v>
      </c>
      <c r="J965" s="10">
        <v>0</v>
      </c>
      <c r="L965" s="10">
        <v>15000000</v>
      </c>
      <c r="M965" s="13"/>
      <c r="N965" s="13"/>
      <c r="O965" s="13"/>
      <c r="P965" s="13"/>
    </row>
    <row r="966" spans="1:16" ht="31" x14ac:dyDescent="0.35">
      <c r="A966" s="5">
        <v>965</v>
      </c>
      <c r="B966" s="6" t="s">
        <v>969</v>
      </c>
      <c r="C966" s="7">
        <v>10</v>
      </c>
      <c r="D966" s="7" t="str">
        <f>VLOOKUP(C966,'5-Genre Codes'!$A$1:$B$11,2,FALSE)</f>
        <v>Contemporary Fiction</v>
      </c>
      <c r="E966" s="8">
        <v>1989</v>
      </c>
      <c r="F966" s="6">
        <v>12175</v>
      </c>
      <c r="G966" s="6" t="str">
        <f>VLOOKUP(F966,'4-Actor Codes'!$A$1:$B$622,2,FALSE)</f>
        <v>Diane Ladd</v>
      </c>
      <c r="H966" s="8" t="s">
        <v>13</v>
      </c>
      <c r="I966" s="9">
        <v>71319546</v>
      </c>
      <c r="J966" s="10">
        <v>0</v>
      </c>
      <c r="L966" s="10">
        <v>3000000</v>
      </c>
      <c r="M966" s="13"/>
      <c r="N966" s="13"/>
      <c r="O966" s="13"/>
      <c r="P966" s="13"/>
    </row>
    <row r="967" spans="1:16" x14ac:dyDescent="0.35">
      <c r="A967" s="5">
        <v>966</v>
      </c>
      <c r="B967" s="6" t="s">
        <v>970</v>
      </c>
      <c r="C967" s="7">
        <v>50</v>
      </c>
      <c r="D967" s="7" t="str">
        <f>VLOOKUP(C967,'5-Genre Codes'!$A$1:$B$11,2,FALSE)</f>
        <v>Historical Fiction</v>
      </c>
      <c r="E967" s="8">
        <v>2000</v>
      </c>
      <c r="F967" s="6">
        <v>14335</v>
      </c>
      <c r="G967" s="6" t="str">
        <f>VLOOKUP(F967,'4-Actor Codes'!$A$1:$B$622,2,FALSE)</f>
        <v>John Wood</v>
      </c>
      <c r="H967" s="8" t="s">
        <v>10</v>
      </c>
      <c r="I967" s="9">
        <v>71309760</v>
      </c>
      <c r="J967" s="10">
        <v>81190583</v>
      </c>
      <c r="L967" s="10">
        <v>25000000</v>
      </c>
      <c r="M967" s="13"/>
      <c r="N967" s="13"/>
      <c r="O967" s="13"/>
      <c r="P967" s="13"/>
    </row>
    <row r="968" spans="1:16" ht="31" x14ac:dyDescent="0.35">
      <c r="A968" s="5">
        <v>967</v>
      </c>
      <c r="B968" s="6" t="s">
        <v>971</v>
      </c>
      <c r="C968" s="7">
        <v>10</v>
      </c>
      <c r="D968" s="7" t="str">
        <f>VLOOKUP(C968,'5-Genre Codes'!$A$1:$B$11,2,FALSE)</f>
        <v>Contemporary Fiction</v>
      </c>
      <c r="E968" s="8">
        <v>2001</v>
      </c>
      <c r="F968" s="6">
        <v>10375</v>
      </c>
      <c r="G968" s="6" t="str">
        <f>VLOOKUP(F968,'4-Actor Codes'!$A$1:$B$622,2,FALSE)</f>
        <v>Anna Faris</v>
      </c>
      <c r="H968" s="8" t="s">
        <v>13</v>
      </c>
      <c r="I968" s="9">
        <v>71277420</v>
      </c>
      <c r="J968" s="10">
        <v>69911681</v>
      </c>
      <c r="L968" s="10">
        <v>45000000</v>
      </c>
      <c r="M968" s="13"/>
      <c r="N968" s="13"/>
      <c r="O968" s="13"/>
      <c r="P968" s="13"/>
    </row>
    <row r="969" spans="1:16" ht="31" x14ac:dyDescent="0.35">
      <c r="A969" s="5">
        <v>968</v>
      </c>
      <c r="B969" s="6" t="s">
        <v>972</v>
      </c>
      <c r="C969" s="7">
        <v>80</v>
      </c>
      <c r="D969" s="7" t="str">
        <f>VLOOKUP(C969,'5-Genre Codes'!$A$1:$B$11,2,FALSE)</f>
        <v>Science Fiction</v>
      </c>
      <c r="E969" s="8">
        <v>1984</v>
      </c>
      <c r="F969" s="6">
        <v>19225</v>
      </c>
      <c r="G969" s="6" t="str">
        <f>VLOOKUP(F969,'4-Actor Codes'!$A$1:$B$622,2,FALSE)</f>
        <v>William Shatner</v>
      </c>
      <c r="H969" s="8" t="s">
        <v>13</v>
      </c>
      <c r="I969" s="9">
        <v>71273785</v>
      </c>
      <c r="J969" s="10">
        <v>127950427</v>
      </c>
      <c r="L969" s="10">
        <v>140000000</v>
      </c>
      <c r="M969" s="13"/>
      <c r="N969" s="13"/>
      <c r="O969" s="13"/>
      <c r="P969" s="13"/>
    </row>
    <row r="970" spans="1:16" ht="31" x14ac:dyDescent="0.35">
      <c r="A970" s="5">
        <v>969</v>
      </c>
      <c r="B970" s="6" t="s">
        <v>973</v>
      </c>
      <c r="C970" s="7">
        <v>40</v>
      </c>
      <c r="D970" s="7" t="str">
        <f>VLOOKUP(C970,'5-Genre Codes'!$A$1:$B$11,2,FALSE)</f>
        <v>Fantasy</v>
      </c>
      <c r="E970" s="8">
        <v>2008</v>
      </c>
      <c r="F970" s="6">
        <v>12805</v>
      </c>
      <c r="G970" s="6" t="str">
        <f>VLOOKUP(F970,'4-Actor Codes'!$A$1:$B$622,2,FALSE)</f>
        <v>Freddie Highmore</v>
      </c>
      <c r="H970" s="8" t="s">
        <v>10</v>
      </c>
      <c r="I970" s="9">
        <v>71195053</v>
      </c>
      <c r="J970" s="10">
        <v>91644614</v>
      </c>
      <c r="L970" s="10">
        <v>92500000</v>
      </c>
      <c r="M970" s="13"/>
      <c r="N970" s="13"/>
      <c r="O970" s="13"/>
      <c r="P970" s="13"/>
    </row>
    <row r="971" spans="1:16" ht="31" x14ac:dyDescent="0.35">
      <c r="A971" s="5">
        <v>970</v>
      </c>
      <c r="B971" s="6" t="s">
        <v>974</v>
      </c>
      <c r="C971" s="7">
        <v>10</v>
      </c>
      <c r="D971" s="7" t="str">
        <f>VLOOKUP(C971,'5-Genre Codes'!$A$1:$B$11,2,FALSE)</f>
        <v>Contemporary Fiction</v>
      </c>
      <c r="E971" s="8">
        <v>2001</v>
      </c>
      <c r="F971" s="6">
        <v>17320</v>
      </c>
      <c r="G971" s="6" t="str">
        <f>VLOOKUP(F971,'4-Actor Codes'!$A$1:$B$622,2,FALSE)</f>
        <v>Robert De Niro</v>
      </c>
      <c r="H971" s="8" t="s">
        <v>10</v>
      </c>
      <c r="I971" s="9">
        <v>71069884</v>
      </c>
      <c r="J971" s="10">
        <v>33600000</v>
      </c>
      <c r="L971" s="10">
        <v>65000000</v>
      </c>
      <c r="M971" s="13"/>
      <c r="N971" s="13"/>
      <c r="O971" s="13"/>
      <c r="P971" s="13"/>
    </row>
    <row r="972" spans="1:16" ht="31" x14ac:dyDescent="0.35">
      <c r="A972" s="5">
        <v>971</v>
      </c>
      <c r="B972" s="6" t="s">
        <v>975</v>
      </c>
      <c r="C972" s="7">
        <v>10</v>
      </c>
      <c r="D972" s="7" t="str">
        <f>VLOOKUP(C972,'5-Genre Codes'!$A$1:$B$11,2,FALSE)</f>
        <v>Contemporary Fiction</v>
      </c>
      <c r="E972" s="8">
        <v>2015</v>
      </c>
      <c r="F972" s="6">
        <v>17020</v>
      </c>
      <c r="G972" s="6" t="str">
        <f>VLOOKUP(F972,'4-Actor Codes'!$A$1:$B$622,2,FALSE)</f>
        <v>Raini Rodriguez</v>
      </c>
      <c r="H972" s="8" t="s">
        <v>13</v>
      </c>
      <c r="I972" s="9">
        <v>71038190</v>
      </c>
      <c r="J972" s="10">
        <v>39568572</v>
      </c>
      <c r="L972" s="10">
        <v>26000000</v>
      </c>
      <c r="M972" s="13"/>
      <c r="N972" s="13"/>
      <c r="O972" s="13"/>
      <c r="P972" s="13"/>
    </row>
    <row r="973" spans="1:16" ht="31" x14ac:dyDescent="0.35">
      <c r="A973" s="5">
        <v>972</v>
      </c>
      <c r="B973" s="6" t="s">
        <v>976</v>
      </c>
      <c r="C973" s="7">
        <v>10</v>
      </c>
      <c r="D973" s="7" t="str">
        <f>VLOOKUP(C973,'5-Genre Codes'!$A$1:$B$11,2,FALSE)</f>
        <v>Contemporary Fiction</v>
      </c>
      <c r="E973" s="8">
        <v>2002</v>
      </c>
      <c r="F973" s="6">
        <v>15085</v>
      </c>
      <c r="G973" s="6" t="str">
        <f>VLOOKUP(F973,'4-Actor Codes'!$A$1:$B$622,2,FALSE)</f>
        <v>Larry King</v>
      </c>
      <c r="H973" s="8" t="s">
        <v>10</v>
      </c>
      <c r="I973" s="9">
        <v>71026631</v>
      </c>
      <c r="J973" s="10">
        <v>209719421</v>
      </c>
      <c r="L973" s="10">
        <v>275000000</v>
      </c>
      <c r="M973" s="13"/>
      <c r="N973" s="13"/>
      <c r="O973" s="13"/>
      <c r="P973" s="13"/>
    </row>
    <row r="974" spans="1:16" x14ac:dyDescent="0.35">
      <c r="A974" s="5">
        <v>973</v>
      </c>
      <c r="B974" s="6" t="s">
        <v>977</v>
      </c>
      <c r="C974" s="7">
        <v>60</v>
      </c>
      <c r="D974" s="7" t="str">
        <f>VLOOKUP(C974,'5-Genre Codes'!$A$1:$B$11,2,FALSE)</f>
        <v>Kids Fiction</v>
      </c>
      <c r="E974" s="8">
        <v>2013</v>
      </c>
      <c r="F974" s="6">
        <v>13090</v>
      </c>
      <c r="G974" s="6" t="str">
        <f>VLOOKUP(F974,'4-Actor Codes'!$A$1:$B$622,2,FALSE)</f>
        <v>Hank Azaria</v>
      </c>
      <c r="H974" s="8" t="s">
        <v>13</v>
      </c>
      <c r="I974" s="9">
        <v>71017784</v>
      </c>
      <c r="J974" s="10">
        <v>277529739</v>
      </c>
      <c r="L974" s="10">
        <v>110000000</v>
      </c>
      <c r="M974" s="13"/>
      <c r="N974" s="13"/>
      <c r="O974" s="13"/>
      <c r="P974" s="13"/>
    </row>
    <row r="975" spans="1:16" ht="31" x14ac:dyDescent="0.35">
      <c r="A975" s="5">
        <v>974</v>
      </c>
      <c r="B975" s="6" t="s">
        <v>978</v>
      </c>
      <c r="C975" s="7">
        <v>10</v>
      </c>
      <c r="D975" s="7" t="str">
        <f>VLOOKUP(C975,'5-Genre Codes'!$A$1:$B$11,2,FALSE)</f>
        <v>Contemporary Fiction</v>
      </c>
      <c r="E975" s="8">
        <v>1990</v>
      </c>
      <c r="F975" s="6">
        <v>14185</v>
      </c>
      <c r="G975" s="6" t="str">
        <f>VLOOKUP(F975,'4-Actor Codes'!$A$1:$B$622,2,FALSE)</f>
        <v>Joan Severance</v>
      </c>
      <c r="H975" s="8" t="s">
        <v>10</v>
      </c>
      <c r="I975" s="9">
        <v>70978012</v>
      </c>
      <c r="J975" s="10">
        <v>67719000</v>
      </c>
      <c r="L975" s="10">
        <v>0</v>
      </c>
      <c r="M975" s="13"/>
      <c r="N975" s="13"/>
      <c r="O975" s="13"/>
      <c r="P975" s="13"/>
    </row>
    <row r="976" spans="1:16" ht="31" x14ac:dyDescent="0.35">
      <c r="A976" s="5">
        <v>975</v>
      </c>
      <c r="B976" s="6" t="s">
        <v>979</v>
      </c>
      <c r="C976" s="7">
        <v>10</v>
      </c>
      <c r="D976" s="7" t="str">
        <f>VLOOKUP(C976,'5-Genre Codes'!$A$1:$B$11,2,FALSE)</f>
        <v>Contemporary Fiction</v>
      </c>
      <c r="E976" s="8">
        <v>1988</v>
      </c>
      <c r="F976" s="6">
        <v>15220</v>
      </c>
      <c r="G976" s="6" t="str">
        <f>VLOOKUP(F976,'4-Actor Codes'!$A$1:$B$622,2,FALSE)</f>
        <v>Leslie Nielsen</v>
      </c>
      <c r="H976" s="8" t="s">
        <v>10</v>
      </c>
      <c r="I976" s="9">
        <v>70956485</v>
      </c>
      <c r="J976" s="10">
        <v>72346000</v>
      </c>
      <c r="L976" s="10">
        <v>45000000</v>
      </c>
      <c r="M976" s="13"/>
      <c r="N976" s="13"/>
      <c r="O976" s="13"/>
      <c r="P976" s="13"/>
    </row>
    <row r="977" spans="1:16" ht="31" x14ac:dyDescent="0.35">
      <c r="A977" s="5">
        <v>976</v>
      </c>
      <c r="B977" s="6" t="s">
        <v>980</v>
      </c>
      <c r="C977" s="7">
        <v>10</v>
      </c>
      <c r="D977" s="7" t="str">
        <f>VLOOKUP(C977,'5-Genre Codes'!$A$1:$B$11,2,FALSE)</f>
        <v>Contemporary Fiction</v>
      </c>
      <c r="E977" s="8">
        <v>2001</v>
      </c>
      <c r="F977" s="6">
        <v>13075</v>
      </c>
      <c r="G977" s="6" t="str">
        <f>VLOOKUP(F977,'4-Actor Codes'!$A$1:$B$622,2,FALSE)</f>
        <v>Gwyneth Paltrow</v>
      </c>
      <c r="H977" s="8" t="s">
        <v>10</v>
      </c>
      <c r="I977" s="9">
        <v>70836296</v>
      </c>
      <c r="J977" s="10">
        <v>179182206</v>
      </c>
      <c r="L977" s="10">
        <v>26000000</v>
      </c>
      <c r="M977" s="13"/>
      <c r="N977" s="13"/>
      <c r="O977" s="13"/>
      <c r="P977" s="13"/>
    </row>
    <row r="978" spans="1:16" ht="31" x14ac:dyDescent="0.35">
      <c r="A978" s="5">
        <v>977</v>
      </c>
      <c r="B978" s="6" t="s">
        <v>981</v>
      </c>
      <c r="C978" s="7">
        <v>10</v>
      </c>
      <c r="D978" s="7" t="str">
        <f>VLOOKUP(C978,'5-Genre Codes'!$A$1:$B$11,2,FALSE)</f>
        <v>Contemporary Fiction</v>
      </c>
      <c r="E978" s="8">
        <v>1980</v>
      </c>
      <c r="F978" s="6">
        <v>13630</v>
      </c>
      <c r="G978" s="6" t="str">
        <f>VLOOKUP(F978,'4-Actor Codes'!$A$1:$B$622,2,FALSE)</f>
        <v>James Gammon</v>
      </c>
      <c r="H978" s="8" t="s">
        <v>13</v>
      </c>
      <c r="I978" s="9">
        <v>70687344</v>
      </c>
      <c r="J978" s="10">
        <v>61700000</v>
      </c>
      <c r="L978" s="10">
        <v>60000000</v>
      </c>
      <c r="M978" s="13"/>
      <c r="N978" s="13"/>
      <c r="O978" s="13"/>
      <c r="P978" s="13"/>
    </row>
    <row r="979" spans="1:16" ht="31" x14ac:dyDescent="0.35">
      <c r="A979" s="5">
        <v>978</v>
      </c>
      <c r="B979" s="6" t="s">
        <v>982</v>
      </c>
      <c r="C979" s="7">
        <v>10</v>
      </c>
      <c r="D979" s="7" t="str">
        <f>VLOOKUP(C979,'5-Genre Codes'!$A$1:$B$11,2,FALSE)</f>
        <v>Contemporary Fiction</v>
      </c>
      <c r="E979" s="8">
        <v>2010</v>
      </c>
      <c r="F979" s="6">
        <v>16390</v>
      </c>
      <c r="G979" s="6" t="str">
        <f>VLOOKUP(F979,'4-Actor Codes'!$A$1:$B$622,2,FALSE)</f>
        <v>Natalie Portman</v>
      </c>
      <c r="H979" s="8" t="s">
        <v>10</v>
      </c>
      <c r="I979" s="9">
        <v>70662220</v>
      </c>
      <c r="J979" s="10">
        <v>78565858</v>
      </c>
      <c r="L979" s="10">
        <v>25000000</v>
      </c>
      <c r="M979" s="13"/>
      <c r="N979" s="13"/>
      <c r="O979" s="13"/>
      <c r="P979" s="13"/>
    </row>
    <row r="980" spans="1:16" ht="31" x14ac:dyDescent="0.35">
      <c r="A980" s="5">
        <v>979</v>
      </c>
      <c r="B980" s="6" t="s">
        <v>983</v>
      </c>
      <c r="C980" s="7">
        <v>10</v>
      </c>
      <c r="D980" s="7" t="str">
        <f>VLOOKUP(C980,'5-Genre Codes'!$A$1:$B$11,2,FALSE)</f>
        <v>Contemporary Fiction</v>
      </c>
      <c r="E980" s="8">
        <v>1996</v>
      </c>
      <c r="F980" s="6">
        <v>16615</v>
      </c>
      <c r="G980" s="6" t="str">
        <f>VLOOKUP(F980,'4-Actor Codes'!$A$1:$B$622,2,FALSE)</f>
        <v>Ousaun Elam</v>
      </c>
      <c r="H980" s="8" t="s">
        <v>10</v>
      </c>
      <c r="I980" s="9">
        <v>70640985</v>
      </c>
      <c r="J980" s="10">
        <v>77700000</v>
      </c>
      <c r="L980" s="10">
        <v>65000000</v>
      </c>
      <c r="M980" s="13"/>
      <c r="N980" s="13"/>
      <c r="O980" s="13"/>
      <c r="P980" s="13"/>
    </row>
    <row r="981" spans="1:16" ht="31" x14ac:dyDescent="0.35">
      <c r="A981" s="5">
        <v>980</v>
      </c>
      <c r="B981" s="6" t="s">
        <v>984</v>
      </c>
      <c r="C981" s="7">
        <v>10</v>
      </c>
      <c r="D981" s="7" t="str">
        <f>VLOOKUP(C981,'5-Genre Codes'!$A$1:$B$11,2,FALSE)</f>
        <v>Contemporary Fiction</v>
      </c>
      <c r="E981" s="8">
        <v>2013</v>
      </c>
      <c r="F981" s="6">
        <v>16330</v>
      </c>
      <c r="G981" s="6" t="str">
        <f>VLOOKUP(F981,'4-Actor Codes'!$A$1:$B$622,2,FALSE)</f>
        <v>Morris Chestnut</v>
      </c>
      <c r="H981" s="8" t="s">
        <v>13</v>
      </c>
      <c r="I981" s="9">
        <v>70525195</v>
      </c>
      <c r="J981" s="10">
        <v>88256141</v>
      </c>
      <c r="L981" s="10">
        <v>10000000</v>
      </c>
      <c r="M981" s="13"/>
      <c r="N981" s="13"/>
      <c r="O981" s="13"/>
      <c r="P981" s="13"/>
    </row>
    <row r="982" spans="1:16" ht="31" x14ac:dyDescent="0.35">
      <c r="A982" s="5">
        <v>981</v>
      </c>
      <c r="B982" s="6" t="s">
        <v>985</v>
      </c>
      <c r="C982" s="7">
        <v>80</v>
      </c>
      <c r="D982" s="7" t="str">
        <f>VLOOKUP(C982,'5-Genre Codes'!$A$1:$B$11,2,FALSE)</f>
        <v>Science Fiction</v>
      </c>
      <c r="E982" s="8">
        <v>2006</v>
      </c>
      <c r="F982" s="6">
        <v>16390</v>
      </c>
      <c r="G982" s="6" t="str">
        <f>VLOOKUP(F982,'4-Actor Codes'!$A$1:$B$622,2,FALSE)</f>
        <v>Natalie Portman</v>
      </c>
      <c r="H982" s="8" t="s">
        <v>10</v>
      </c>
      <c r="I982" s="9">
        <v>70511035</v>
      </c>
      <c r="J982" s="10">
        <v>83019358</v>
      </c>
      <c r="L982" s="10">
        <v>30000000</v>
      </c>
      <c r="M982" s="13"/>
      <c r="N982" s="13"/>
      <c r="O982" s="13"/>
      <c r="P982" s="13"/>
    </row>
    <row r="983" spans="1:16" ht="31" x14ac:dyDescent="0.35">
      <c r="A983" s="5">
        <v>982</v>
      </c>
      <c r="B983" s="6" t="s">
        <v>986</v>
      </c>
      <c r="C983" s="7">
        <v>40</v>
      </c>
      <c r="D983" s="7" t="str">
        <f>VLOOKUP(C983,'5-Genre Codes'!$A$1:$B$11,2,FALSE)</f>
        <v>Fantasy</v>
      </c>
      <c r="E983" s="8">
        <v>1995</v>
      </c>
      <c r="F983" s="6">
        <v>11080</v>
      </c>
      <c r="G983" s="6" t="str">
        <f>VLOOKUP(F983,'4-Actor Codes'!$A$1:$B$622,2,FALSE)</f>
        <v>Bridgette Wilson</v>
      </c>
      <c r="H983" s="8" t="s">
        <v>10</v>
      </c>
      <c r="I983" s="9">
        <v>70423929</v>
      </c>
      <c r="J983" s="10">
        <v>140000000</v>
      </c>
      <c r="L983" s="10">
        <v>31000000</v>
      </c>
      <c r="M983" s="13"/>
      <c r="N983" s="13"/>
      <c r="O983" s="13"/>
      <c r="P983" s="13"/>
    </row>
    <row r="984" spans="1:16" x14ac:dyDescent="0.35">
      <c r="A984" s="5">
        <v>983</v>
      </c>
      <c r="B984" s="6" t="s">
        <v>987</v>
      </c>
      <c r="C984" s="7">
        <v>20</v>
      </c>
      <c r="D984" s="7" t="str">
        <f>VLOOKUP(C984,'5-Genre Codes'!$A$1:$B$11,2,FALSE)</f>
        <v>Dramatization</v>
      </c>
      <c r="E984" s="8">
        <v>1991</v>
      </c>
      <c r="F984" s="6">
        <v>11740</v>
      </c>
      <c r="G984" s="6" t="str">
        <f>VLOOKUP(F984,'4-Actor Codes'!$A$1:$B$622,2,FALSE)</f>
        <v>Dale Dye</v>
      </c>
      <c r="H984" s="8" t="s">
        <v>10</v>
      </c>
      <c r="I984" s="9">
        <v>70405498</v>
      </c>
      <c r="J984" s="10">
        <v>134994502</v>
      </c>
      <c r="L984" s="10">
        <v>40000000</v>
      </c>
      <c r="M984" s="13"/>
      <c r="N984" s="13"/>
      <c r="O984" s="13"/>
      <c r="P984" s="13"/>
    </row>
    <row r="985" spans="1:16" ht="31" x14ac:dyDescent="0.35">
      <c r="A985" s="5">
        <v>984</v>
      </c>
      <c r="B985" s="6" t="s">
        <v>988</v>
      </c>
      <c r="C985" s="7">
        <v>10</v>
      </c>
      <c r="D985" s="7" t="str">
        <f>VLOOKUP(C985,'5-Genre Codes'!$A$1:$B$11,2,FALSE)</f>
        <v>Contemporary Fiction</v>
      </c>
      <c r="E985" s="8">
        <v>2000</v>
      </c>
      <c r="F985" s="6">
        <v>17755</v>
      </c>
      <c r="G985" s="6" t="str">
        <f>VLOOKUP(F985,'4-Actor Codes'!$A$1:$B$622,2,FALSE)</f>
        <v>Samuel L. Jackson</v>
      </c>
      <c r="H985" s="8" t="s">
        <v>10</v>
      </c>
      <c r="I985" s="9">
        <v>70327868</v>
      </c>
      <c r="J985" s="10">
        <v>199333086</v>
      </c>
      <c r="L985" s="10">
        <v>95000000</v>
      </c>
      <c r="M985" s="13"/>
      <c r="N985" s="13"/>
      <c r="O985" s="13"/>
      <c r="P985" s="13"/>
    </row>
    <row r="986" spans="1:16" ht="31" x14ac:dyDescent="0.35">
      <c r="A986" s="5">
        <v>985</v>
      </c>
      <c r="B986" s="6" t="s">
        <v>989</v>
      </c>
      <c r="C986" s="7">
        <v>10</v>
      </c>
      <c r="D986" s="7" t="str">
        <f>VLOOKUP(C986,'5-Genre Codes'!$A$1:$B$11,2,FALSE)</f>
        <v>Contemporary Fiction</v>
      </c>
      <c r="E986" s="8">
        <v>1979</v>
      </c>
      <c r="F986" s="6">
        <v>10705</v>
      </c>
      <c r="G986" s="6" t="str">
        <f>VLOOKUP(F986,'4-Actor Codes'!$A$1:$B$622,2,FALSE)</f>
        <v>Bernard Lee</v>
      </c>
      <c r="H986" s="8" t="s">
        <v>13</v>
      </c>
      <c r="I986" s="9">
        <v>70300000</v>
      </c>
      <c r="J986" s="10">
        <v>140000000</v>
      </c>
      <c r="L986" s="10">
        <v>31000000</v>
      </c>
      <c r="M986" s="13"/>
      <c r="N986" s="13"/>
      <c r="O986" s="13"/>
      <c r="P986" s="13"/>
    </row>
    <row r="987" spans="1:16" x14ac:dyDescent="0.35">
      <c r="A987" s="5">
        <v>986</v>
      </c>
      <c r="B987" s="6" t="s">
        <v>990</v>
      </c>
      <c r="C987" s="7">
        <v>20</v>
      </c>
      <c r="D987" s="7" t="str">
        <f>VLOOKUP(C987,'5-Genre Codes'!$A$1:$B$11,2,FALSE)</f>
        <v>Dramatization</v>
      </c>
      <c r="E987" s="8">
        <v>2006</v>
      </c>
      <c r="F987" s="6">
        <v>16465</v>
      </c>
      <c r="G987" s="6" t="str">
        <f>VLOOKUP(F987,'4-Actor Codes'!$A$1:$B$622,2,FALSE)</f>
        <v>Nicolas Cage</v>
      </c>
      <c r="H987" s="8" t="s">
        <v>10</v>
      </c>
      <c r="I987" s="9">
        <v>70278893</v>
      </c>
      <c r="J987" s="10">
        <v>93016761</v>
      </c>
      <c r="L987" s="10">
        <v>65000000</v>
      </c>
      <c r="M987" s="13"/>
      <c r="N987" s="13"/>
      <c r="O987" s="13"/>
      <c r="P987" s="13"/>
    </row>
    <row r="988" spans="1:16" ht="31" x14ac:dyDescent="0.35">
      <c r="A988" s="5">
        <v>987</v>
      </c>
      <c r="B988" s="6" t="s">
        <v>991</v>
      </c>
      <c r="C988" s="7">
        <v>10</v>
      </c>
      <c r="D988" s="7" t="str">
        <f>VLOOKUP(C988,'5-Genre Codes'!$A$1:$B$11,2,FALSE)</f>
        <v>Contemporary Fiction</v>
      </c>
      <c r="E988" s="8">
        <v>2006</v>
      </c>
      <c r="F988" s="6">
        <v>18385</v>
      </c>
      <c r="G988" s="6" t="str">
        <f>VLOOKUP(F988,'4-Actor Codes'!$A$1:$B$622,2,FALSE)</f>
        <v>Sylvester Stallone</v>
      </c>
      <c r="H988" s="8" t="s">
        <v>13</v>
      </c>
      <c r="I988" s="9">
        <v>70269899</v>
      </c>
      <c r="J988" s="10">
        <v>85959151</v>
      </c>
      <c r="L988" s="10">
        <v>24000000</v>
      </c>
      <c r="M988" s="13"/>
      <c r="N988" s="13"/>
      <c r="O988" s="13"/>
      <c r="P988" s="13"/>
    </row>
    <row r="989" spans="1:16" ht="31" x14ac:dyDescent="0.35">
      <c r="A989" s="5">
        <v>988</v>
      </c>
      <c r="B989" s="6" t="s">
        <v>992</v>
      </c>
      <c r="C989" s="7">
        <v>10</v>
      </c>
      <c r="D989" s="7" t="str">
        <f>VLOOKUP(C989,'5-Genre Codes'!$A$1:$B$11,2,FALSE)</f>
        <v>Contemporary Fiction</v>
      </c>
      <c r="E989" s="8">
        <v>2008</v>
      </c>
      <c r="F989" s="6">
        <v>12625</v>
      </c>
      <c r="G989" s="6" t="str">
        <f>VLOOKUP(F989,'4-Actor Codes'!$A$1:$B$622,2,FALSE)</f>
        <v>Ewen Bremner</v>
      </c>
      <c r="H989" s="8" t="s">
        <v>10</v>
      </c>
      <c r="I989" s="9">
        <v>70231041</v>
      </c>
      <c r="J989" s="10">
        <v>100500000</v>
      </c>
      <c r="L989" s="10">
        <v>65000000</v>
      </c>
      <c r="M989" s="13"/>
      <c r="N989" s="13"/>
      <c r="O989" s="13"/>
      <c r="P989" s="13"/>
    </row>
    <row r="990" spans="1:16" ht="31" x14ac:dyDescent="0.35">
      <c r="A990" s="5">
        <v>989</v>
      </c>
      <c r="B990" s="6" t="s">
        <v>993</v>
      </c>
      <c r="C990" s="7">
        <v>80</v>
      </c>
      <c r="D990" s="7" t="str">
        <f>VLOOKUP(C990,'5-Genre Codes'!$A$1:$B$11,2,FALSE)</f>
        <v>Science Fiction</v>
      </c>
      <c r="E990" s="8">
        <v>1998</v>
      </c>
      <c r="F990" s="6">
        <v>16660</v>
      </c>
      <c r="G990" s="6" t="str">
        <f>VLOOKUP(F990,'4-Actor Codes'!$A$1:$B$622,2,FALSE)</f>
        <v>Patrick Stewart</v>
      </c>
      <c r="H990" s="8" t="s">
        <v>13</v>
      </c>
      <c r="I990" s="9">
        <v>70177571</v>
      </c>
      <c r="J990" s="10">
        <v>57972112</v>
      </c>
      <c r="L990" s="10">
        <v>46000000</v>
      </c>
      <c r="M990" s="13"/>
      <c r="N990" s="13"/>
      <c r="O990" s="13"/>
      <c r="P990" s="13"/>
    </row>
    <row r="991" spans="1:16" ht="31" x14ac:dyDescent="0.35">
      <c r="A991" s="5">
        <v>990</v>
      </c>
      <c r="B991" s="6" t="s">
        <v>994</v>
      </c>
      <c r="C991" s="7">
        <v>10</v>
      </c>
      <c r="D991" s="7" t="str">
        <f>VLOOKUP(C991,'5-Genre Codes'!$A$1:$B$11,2,FALSE)</f>
        <v>Contemporary Fiction</v>
      </c>
      <c r="E991" s="8">
        <v>1993</v>
      </c>
      <c r="F991" s="6">
        <v>11500</v>
      </c>
      <c r="G991" s="6" t="str">
        <f>VLOOKUP(F991,'4-Actor Codes'!$A$1:$B$622,2,FALSE)</f>
        <v>Christopher McDonald</v>
      </c>
      <c r="H991" s="8" t="s">
        <v>10</v>
      </c>
      <c r="I991" s="9">
        <v>70172621</v>
      </c>
      <c r="J991" s="10">
        <v>113355283</v>
      </c>
      <c r="L991" s="10">
        <v>80000000</v>
      </c>
      <c r="M991" s="13"/>
      <c r="N991" s="13"/>
      <c r="O991" s="13"/>
      <c r="P991" s="13"/>
    </row>
    <row r="992" spans="1:16" ht="31" x14ac:dyDescent="0.35">
      <c r="A992" s="5">
        <v>991</v>
      </c>
      <c r="B992" s="6" t="s">
        <v>995</v>
      </c>
      <c r="C992" s="7">
        <v>10</v>
      </c>
      <c r="D992" s="7" t="str">
        <f>VLOOKUP(C992,'5-Genre Codes'!$A$1:$B$11,2,FALSE)</f>
        <v>Contemporary Fiction</v>
      </c>
      <c r="E992" s="8">
        <v>2006</v>
      </c>
      <c r="F992" s="6">
        <v>19285</v>
      </c>
      <c r="G992" s="6" t="str">
        <f>VLOOKUP(F992,'4-Actor Codes'!$A$1:$B$622,2,FALSE)</f>
        <v>Zachary Levi</v>
      </c>
      <c r="H992" s="8" t="s">
        <v>13</v>
      </c>
      <c r="I992" s="9">
        <v>70165972</v>
      </c>
      <c r="J992" s="10">
        <v>66881404</v>
      </c>
      <c r="L992" s="10">
        <v>40000000</v>
      </c>
      <c r="M992" s="13"/>
      <c r="N992" s="13"/>
      <c r="O992" s="13"/>
      <c r="P992" s="13"/>
    </row>
    <row r="993" spans="1:16" ht="31" x14ac:dyDescent="0.35">
      <c r="A993" s="5">
        <v>992</v>
      </c>
      <c r="B993" s="6" t="s">
        <v>996</v>
      </c>
      <c r="C993" s="7">
        <v>10</v>
      </c>
      <c r="D993" s="7" t="str">
        <f>VLOOKUP(C993,'5-Genre Codes'!$A$1:$B$11,2,FALSE)</f>
        <v>Contemporary Fiction</v>
      </c>
      <c r="E993" s="8">
        <v>1989</v>
      </c>
      <c r="F993" s="6">
        <v>18760</v>
      </c>
      <c r="G993" s="6" t="str">
        <f>VLOOKUP(F993,'4-Actor Codes'!$A$1:$B$622,2,FALSE)</f>
        <v>Tom Hanks</v>
      </c>
      <c r="H993" s="8" t="s">
        <v>10</v>
      </c>
      <c r="I993" s="9">
        <v>70131974</v>
      </c>
      <c r="J993" s="10">
        <v>203868448</v>
      </c>
      <c r="L993" s="10">
        <v>135000000</v>
      </c>
      <c r="M993" s="13"/>
      <c r="N993" s="13"/>
      <c r="O993" s="13"/>
      <c r="P993" s="13"/>
    </row>
    <row r="994" spans="1:16" x14ac:dyDescent="0.35">
      <c r="A994" s="5">
        <v>993</v>
      </c>
      <c r="B994" s="6" t="s">
        <v>997</v>
      </c>
      <c r="C994" s="7">
        <v>40</v>
      </c>
      <c r="D994" s="7" t="str">
        <f>VLOOKUP(C994,'5-Genre Codes'!$A$1:$B$11,2,FALSE)</f>
        <v>Fantasy</v>
      </c>
      <c r="E994" s="8">
        <v>2007</v>
      </c>
      <c r="F994" s="6">
        <v>12145</v>
      </c>
      <c r="G994" s="6" t="str">
        <f>VLOOKUP(F994,'4-Actor Codes'!$A$1:$B$622,2,FALSE)</f>
        <v>Derek Jacobi</v>
      </c>
      <c r="H994" s="8" t="s">
        <v>10</v>
      </c>
      <c r="I994" s="9">
        <v>70107728</v>
      </c>
      <c r="J994" s="10">
        <v>297154830</v>
      </c>
      <c r="L994" s="10">
        <v>205000000</v>
      </c>
      <c r="M994" s="13"/>
      <c r="N994" s="13"/>
      <c r="O994" s="13"/>
      <c r="P994" s="13"/>
    </row>
    <row r="995" spans="1:16" ht="31" x14ac:dyDescent="0.35">
      <c r="A995" s="5">
        <v>994</v>
      </c>
      <c r="B995" s="6" t="s">
        <v>998</v>
      </c>
      <c r="C995" s="7">
        <v>10</v>
      </c>
      <c r="D995" s="7" t="str">
        <f>VLOOKUP(C995,'5-Genre Codes'!$A$1:$B$11,2,FALSE)</f>
        <v>Contemporary Fiction</v>
      </c>
      <c r="E995" s="8">
        <v>2003</v>
      </c>
      <c r="F995" s="6">
        <v>14590</v>
      </c>
      <c r="G995" s="6" t="str">
        <f>VLOOKUP(F995,'4-Actor Codes'!$A$1:$B$622,2,FALSE)</f>
        <v>Julie Dreyfus</v>
      </c>
      <c r="H995" s="8" t="s">
        <v>10</v>
      </c>
      <c r="I995" s="9">
        <v>70098138</v>
      </c>
      <c r="J995" s="10">
        <v>106371290</v>
      </c>
      <c r="L995" s="10">
        <v>55000000</v>
      </c>
      <c r="M995" s="13"/>
      <c r="N995" s="13"/>
      <c r="O995" s="13"/>
      <c r="P995" s="13"/>
    </row>
    <row r="996" spans="1:16" ht="31" x14ac:dyDescent="0.35">
      <c r="A996" s="5">
        <v>995</v>
      </c>
      <c r="B996" s="6" t="s">
        <v>999</v>
      </c>
      <c r="C996" s="7">
        <v>10</v>
      </c>
      <c r="D996" s="7" t="str">
        <f>VLOOKUP(C996,'5-Genre Codes'!$A$1:$B$11,2,FALSE)</f>
        <v>Contemporary Fiction</v>
      </c>
      <c r="E996" s="8">
        <v>2011</v>
      </c>
      <c r="F996" s="6">
        <v>17530</v>
      </c>
      <c r="G996" s="6" t="str">
        <f>VLOOKUP(F996,'4-Actor Codes'!$A$1:$B$622,2,FALSE)</f>
        <v>Roselyn Sanchez</v>
      </c>
      <c r="H996" s="8" t="s">
        <v>10</v>
      </c>
      <c r="I996" s="9">
        <v>70012847</v>
      </c>
      <c r="J996" s="10">
        <v>104039937</v>
      </c>
      <c r="L996" s="10">
        <v>30000000</v>
      </c>
      <c r="M996" s="13"/>
      <c r="N996" s="13"/>
      <c r="O996" s="13"/>
      <c r="P996" s="13"/>
    </row>
    <row r="997" spans="1:16" x14ac:dyDescent="0.35">
      <c r="A997" s="5">
        <v>996</v>
      </c>
      <c r="B997" s="6" t="s">
        <v>1000</v>
      </c>
      <c r="C997" s="7">
        <v>90</v>
      </c>
      <c r="D997" s="7" t="str">
        <f>VLOOKUP(C997,'5-Genre Codes'!$A$1:$B$11,2,FALSE)</f>
        <v>Super Hero</v>
      </c>
      <c r="E997" s="8">
        <v>1998</v>
      </c>
      <c r="F997" s="6">
        <v>18985</v>
      </c>
      <c r="G997" s="6" t="str">
        <f>VLOOKUP(F997,'4-Actor Codes'!$A$1:$B$622,2,FALSE)</f>
        <v>Udo Kier</v>
      </c>
      <c r="H997" s="8" t="s">
        <v>10</v>
      </c>
      <c r="I997" s="9">
        <v>70001065</v>
      </c>
      <c r="J997" s="10">
        <v>61095812</v>
      </c>
      <c r="L997" s="10">
        <v>45000000</v>
      </c>
      <c r="M997" s="13"/>
      <c r="N997" s="13"/>
      <c r="O997" s="13"/>
      <c r="P997" s="13"/>
    </row>
    <row r="998" spans="1:16" ht="31" x14ac:dyDescent="0.35">
      <c r="A998" s="5">
        <v>997</v>
      </c>
      <c r="B998" s="6" t="s">
        <v>1001</v>
      </c>
      <c r="C998" s="7">
        <v>10</v>
      </c>
      <c r="D998" s="7" t="str">
        <f>VLOOKUP(C998,'5-Genre Codes'!$A$1:$B$11,2,FALSE)</f>
        <v>Contemporary Fiction</v>
      </c>
      <c r="E998" s="8">
        <v>2008</v>
      </c>
      <c r="F998" s="6">
        <v>19165</v>
      </c>
      <c r="G998" s="6" t="str">
        <f>VLOOKUP(F998,'4-Actor Codes'!$A$1:$B$622,2,FALSE)</f>
        <v>Will Smith</v>
      </c>
      <c r="H998" s="8" t="s">
        <v>10</v>
      </c>
      <c r="I998" s="9">
        <v>69951824</v>
      </c>
      <c r="J998" s="10">
        <v>96665504</v>
      </c>
      <c r="L998" s="10">
        <v>54000000</v>
      </c>
      <c r="M998" s="13"/>
      <c r="N998" s="13"/>
      <c r="O998" s="13"/>
      <c r="P998" s="13"/>
    </row>
    <row r="999" spans="1:16" ht="31" x14ac:dyDescent="0.35">
      <c r="A999" s="5">
        <v>998</v>
      </c>
      <c r="B999" s="6" t="s">
        <v>1002</v>
      </c>
      <c r="C999" s="7">
        <v>10</v>
      </c>
      <c r="D999" s="7" t="str">
        <f>VLOOKUP(C999,'5-Genre Codes'!$A$1:$B$11,2,FALSE)</f>
        <v>Contemporary Fiction</v>
      </c>
      <c r="E999" s="8">
        <v>1980</v>
      </c>
      <c r="F999" s="6">
        <v>13000</v>
      </c>
      <c r="G999" s="6" t="str">
        <f>VLOOKUP(F999,'4-Actor Codes'!$A$1:$B$622,2,FALSE)</f>
        <v>Goldie Hawn</v>
      </c>
      <c r="H999" s="8" t="s">
        <v>10</v>
      </c>
      <c r="I999" s="9">
        <v>69847348</v>
      </c>
      <c r="J999" s="10">
        <v>223834921</v>
      </c>
      <c r="L999" s="10">
        <v>200000000</v>
      </c>
      <c r="M999" s="13"/>
      <c r="N999" s="13"/>
      <c r="O999" s="13"/>
      <c r="P999" s="13"/>
    </row>
    <row r="1000" spans="1:16" ht="31" x14ac:dyDescent="0.35">
      <c r="A1000" s="5">
        <v>999</v>
      </c>
      <c r="B1000" s="6" t="s">
        <v>1003</v>
      </c>
      <c r="C1000" s="7">
        <v>10</v>
      </c>
      <c r="D1000" s="7" t="str">
        <f>VLOOKUP(C1000,'5-Genre Codes'!$A$1:$B$11,2,FALSE)</f>
        <v>Contemporary Fiction</v>
      </c>
      <c r="E1000" s="8">
        <v>2001</v>
      </c>
      <c r="F1000" s="6">
        <v>14320</v>
      </c>
      <c r="G1000" s="6" t="str">
        <f>VLOOKUP(F1000,'4-Actor Codes'!$A$1:$B$622,2,FALSE)</f>
        <v>John Travolta</v>
      </c>
      <c r="H1000" s="8" t="s">
        <v>10</v>
      </c>
      <c r="I1000" s="9">
        <v>69772969</v>
      </c>
      <c r="J1000" s="10">
        <v>77307444</v>
      </c>
      <c r="L1000" s="10">
        <v>80000000</v>
      </c>
      <c r="M1000" s="13"/>
      <c r="N1000" s="13"/>
      <c r="O1000" s="13"/>
      <c r="P1000" s="13"/>
    </row>
    <row r="1001" spans="1:16" ht="31" x14ac:dyDescent="0.35">
      <c r="A1001" s="5">
        <v>1000</v>
      </c>
      <c r="B1001" s="6" t="s">
        <v>1004</v>
      </c>
      <c r="C1001" s="7">
        <v>10</v>
      </c>
      <c r="D1001" s="7" t="str">
        <f>VLOOKUP(C1001,'5-Genre Codes'!$A$1:$B$11,2,FALSE)</f>
        <v>Contemporary Fiction</v>
      </c>
      <c r="E1001" s="8">
        <v>1982</v>
      </c>
      <c r="F1001" s="6">
        <v>12250</v>
      </c>
      <c r="G1001" s="6" t="str">
        <f>VLOOKUP(F1001,'4-Actor Codes'!$A$1:$B$622,2,FALSE)</f>
        <v>Dolly Parton</v>
      </c>
      <c r="H1001" s="8" t="s">
        <v>10</v>
      </c>
      <c r="I1001" s="9">
        <v>69701637</v>
      </c>
      <c r="J1001" s="10">
        <v>88256141</v>
      </c>
      <c r="L1001" s="10">
        <v>10000000</v>
      </c>
      <c r="M1001" s="13"/>
      <c r="N1001" s="13"/>
      <c r="O1001" s="13"/>
      <c r="P1001" s="13"/>
    </row>
    <row r="1003" spans="1:16" customFormat="1" ht="31" x14ac:dyDescent="0.35">
      <c r="C1003" s="16" t="s">
        <v>1005</v>
      </c>
      <c r="D1003" s="16"/>
      <c r="E1003">
        <f>MAX(E$2:E$1001)</f>
        <v>2016</v>
      </c>
      <c r="H1003" s="17" t="s">
        <v>1007</v>
      </c>
      <c r="I1003" s="18">
        <f>SUM(I2:I1001)</f>
        <v>139881616862</v>
      </c>
      <c r="J1003" s="18">
        <f t="shared" ref="J1003:L1003" si="0">SUM(J2:J1001)</f>
        <v>187840958459</v>
      </c>
      <c r="K1003" s="19"/>
      <c r="L1003" s="18">
        <f t="shared" si="0"/>
        <v>75625303700</v>
      </c>
      <c r="O1003" s="20"/>
      <c r="P1003" s="20"/>
    </row>
    <row r="1004" spans="1:16" customFormat="1" x14ac:dyDescent="0.35">
      <c r="C1004" s="16" t="s">
        <v>1006</v>
      </c>
      <c r="D1004" s="16"/>
      <c r="E1004">
        <f>MIN(E$2:E$1001)</f>
        <v>1937</v>
      </c>
      <c r="H1004" s="21" t="s">
        <v>1008</v>
      </c>
      <c r="I1004" s="18">
        <f>AVERAGE(I2:I1001)</f>
        <v>139881616.86199999</v>
      </c>
      <c r="J1004" s="18">
        <f t="shared" ref="J1004:L1004" si="1">AVERAGE(J2:J1001)</f>
        <v>187840958.45899999</v>
      </c>
      <c r="K1004" s="19"/>
      <c r="L1004" s="18">
        <f t="shared" si="1"/>
        <v>75625303.700000003</v>
      </c>
      <c r="O1004" s="20"/>
      <c r="P1004" s="20"/>
    </row>
    <row r="1005" spans="1:16" customFormat="1" x14ac:dyDescent="0.35">
      <c r="C1005" s="16"/>
      <c r="D1005" s="16"/>
      <c r="I1005" s="18"/>
      <c r="J1005" s="22"/>
      <c r="K1005" s="23"/>
      <c r="L1005" s="22"/>
      <c r="O1005" s="20"/>
      <c r="P1005" s="20"/>
    </row>
    <row r="1006" spans="1:16" customFormat="1" x14ac:dyDescent="0.35">
      <c r="C1006" s="16"/>
      <c r="D1006" s="16"/>
      <c r="I1006" s="18"/>
      <c r="J1006" s="22">
        <f>MAX(J1:J1001)</f>
        <v>2023411357</v>
      </c>
      <c r="K1006" s="23"/>
      <c r="L1006" s="22"/>
      <c r="O1006" s="20"/>
      <c r="P1006" s="20"/>
    </row>
  </sheetData>
  <sortState xmlns:xlrd2="http://schemas.microsoft.com/office/spreadsheetml/2017/richdata2" ref="A2:L1001">
    <sortCondition ref="A2:A1001"/>
  </sortState>
  <phoneticPr fontId="3" type="noConversion"/>
  <pageMargins left="0.75" right="0.75" top="1" bottom="1" header="0.5" footer="0.5"/>
  <pageSetup scale="52" fitToHeight="0"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1-Genre Analysis</vt:lpstr>
      <vt:lpstr>Sheet1</vt:lpstr>
      <vt:lpstr>2-Actor Analysis</vt:lpstr>
      <vt:lpstr>3-Answer Sheet</vt:lpstr>
      <vt:lpstr>4-Actor Codes</vt:lpstr>
      <vt:lpstr>5-Genre Codes</vt:lpstr>
      <vt:lpstr>6-Movie Data</vt:lpstr>
      <vt:lpstr>MovieData</vt:lpstr>
    </vt:vector>
  </TitlesOfParts>
  <Company>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Travis</dc:creator>
  <cp:lastModifiedBy>Readion islam Razon</cp:lastModifiedBy>
  <cp:lastPrinted>2016-02-21T16:23:07Z</cp:lastPrinted>
  <dcterms:created xsi:type="dcterms:W3CDTF">2016-02-21T16:19:33Z</dcterms:created>
  <dcterms:modified xsi:type="dcterms:W3CDTF">2024-04-30T21:19:35Z</dcterms:modified>
</cp:coreProperties>
</file>